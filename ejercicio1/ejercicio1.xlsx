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raices\ejercicio1\"/>
    </mc:Choice>
  </mc:AlternateContent>
  <xr:revisionPtr revIDLastSave="0" documentId="13_ncr:1_{79B5B292-A793-4ACB-A55D-3A4814886CE8}" xr6:coauthVersionLast="47" xr6:coauthVersionMax="47" xr10:uidLastSave="{00000000-0000-0000-0000-000000000000}"/>
  <bookViews>
    <workbookView xWindow="-108" yWindow="-108" windowWidth="23256" windowHeight="12456" activeTab="3" xr2:uid="{9B82493B-48CC-4ECE-B3A9-CD54E9735952}"/>
  </bookViews>
  <sheets>
    <sheet name="EJ1_BISECCION" sheetId="1" r:id="rId1"/>
    <sheet name="EJ1_NEWTON" sheetId="3" r:id="rId2"/>
    <sheet name="EJ1_SECANTE" sheetId="5" r:id="rId3"/>
    <sheet name="EJ1_GRAFICOS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" i="1" l="1"/>
  <c r="J24" i="5"/>
  <c r="D24" i="5"/>
  <c r="J23" i="5"/>
  <c r="D23" i="5"/>
  <c r="L27" i="3"/>
  <c r="K27" i="3"/>
  <c r="J28" i="3" s="1"/>
  <c r="L28" i="3" s="1"/>
  <c r="E27" i="3"/>
  <c r="D27" i="3"/>
  <c r="I25" i="5" l="1"/>
  <c r="J25" i="5" s="1"/>
  <c r="I26" i="5" s="1"/>
  <c r="C25" i="5"/>
  <c r="D25" i="5" s="1"/>
  <c r="C26" i="5" s="1"/>
  <c r="C28" i="3"/>
  <c r="E28" i="3" s="1"/>
  <c r="K28" i="3"/>
  <c r="J29" i="3" s="1"/>
  <c r="D28" i="3" l="1"/>
  <c r="C29" i="3" s="1"/>
  <c r="D26" i="5"/>
  <c r="C27" i="5" s="1"/>
  <c r="J26" i="5"/>
  <c r="I27" i="5" s="1"/>
  <c r="L29" i="3"/>
  <c r="F34" i="3"/>
  <c r="K29" i="3"/>
  <c r="E29" i="3" l="1"/>
  <c r="D29" i="3"/>
  <c r="C30" i="3" s="1"/>
  <c r="D30" i="3" s="1"/>
  <c r="J27" i="5"/>
  <c r="I28" i="5" s="1"/>
  <c r="D27" i="5"/>
  <c r="C28" i="5" s="1"/>
  <c r="C34" i="3" l="1"/>
  <c r="E30" i="3"/>
  <c r="D28" i="5"/>
  <c r="C34" i="5"/>
  <c r="J28" i="5"/>
  <c r="I29" i="5" s="1"/>
  <c r="J29" i="5" l="1"/>
  <c r="I30" i="5" s="1"/>
  <c r="F34" i="5" l="1"/>
  <c r="J30" i="5"/>
  <c r="P22" i="1" l="1"/>
  <c r="O22" i="1"/>
  <c r="N22" i="1"/>
  <c r="Q22" i="1" s="1"/>
  <c r="G22" i="1"/>
  <c r="F22" i="1"/>
  <c r="E22" i="1"/>
  <c r="H22" i="1" s="1"/>
  <c r="M23" i="1" l="1"/>
  <c r="P23" i="1" s="1"/>
  <c r="L23" i="1"/>
  <c r="D23" i="1"/>
  <c r="G23" i="1" s="1"/>
  <c r="C23" i="1"/>
  <c r="O23" i="1" l="1"/>
  <c r="N23" i="1"/>
  <c r="Q23" i="1" s="1"/>
  <c r="F23" i="1"/>
  <c r="E23" i="1"/>
  <c r="H23" i="1" s="1"/>
  <c r="M24" i="1" l="1"/>
  <c r="P24" i="1" s="1"/>
  <c r="L24" i="1"/>
  <c r="D24" i="1"/>
  <c r="G24" i="1" s="1"/>
  <c r="C24" i="1"/>
  <c r="O24" i="1" l="1"/>
  <c r="N24" i="1"/>
  <c r="Q24" i="1" s="1"/>
  <c r="F24" i="1"/>
  <c r="E24" i="1"/>
  <c r="H24" i="1" s="1"/>
  <c r="M25" i="1" l="1"/>
  <c r="P25" i="1" s="1"/>
  <c r="L25" i="1"/>
  <c r="D25" i="1"/>
  <c r="G25" i="1" s="1"/>
  <c r="C25" i="1"/>
  <c r="O25" i="1" l="1"/>
  <c r="N25" i="1"/>
  <c r="Q25" i="1" s="1"/>
  <c r="E25" i="1"/>
  <c r="H25" i="1" s="1"/>
  <c r="F25" i="1"/>
  <c r="M26" i="1" l="1"/>
  <c r="P26" i="1" s="1"/>
  <c r="L26" i="1"/>
  <c r="C26" i="1"/>
  <c r="D26" i="1"/>
  <c r="G26" i="1" s="1"/>
  <c r="O26" i="1" l="1"/>
  <c r="N26" i="1"/>
  <c r="Q26" i="1" s="1"/>
  <c r="E26" i="1"/>
  <c r="H26" i="1" s="1"/>
  <c r="F26" i="1"/>
  <c r="M27" i="1" l="1"/>
  <c r="P27" i="1" s="1"/>
  <c r="L27" i="1"/>
  <c r="C27" i="1"/>
  <c r="D27" i="1"/>
  <c r="G27" i="1" s="1"/>
  <c r="O27" i="1" l="1"/>
  <c r="N27" i="1"/>
  <c r="Q27" i="1" s="1"/>
  <c r="F27" i="1"/>
  <c r="E27" i="1"/>
  <c r="H27" i="1" s="1"/>
  <c r="M28" i="1" l="1"/>
  <c r="P28" i="1" s="1"/>
  <c r="L28" i="1"/>
  <c r="C28" i="1"/>
  <c r="D28" i="1"/>
  <c r="G28" i="1" s="1"/>
  <c r="O28" i="1" l="1"/>
  <c r="N28" i="1"/>
  <c r="Q28" i="1" s="1"/>
  <c r="E28" i="1"/>
  <c r="H28" i="1" s="1"/>
  <c r="F28" i="1"/>
  <c r="M29" i="1" l="1"/>
  <c r="P29" i="1" s="1"/>
  <c r="L29" i="1"/>
  <c r="C29" i="1"/>
  <c r="D29" i="1"/>
  <c r="G29" i="1" s="1"/>
  <c r="O29" i="1" l="1"/>
  <c r="N29" i="1"/>
  <c r="Q29" i="1" s="1"/>
  <c r="E29" i="1"/>
  <c r="H29" i="1" s="1"/>
  <c r="F29" i="1"/>
  <c r="M30" i="1" l="1"/>
  <c r="P30" i="1" s="1"/>
  <c r="L30" i="1"/>
  <c r="C30" i="1"/>
  <c r="D30" i="1"/>
  <c r="G30" i="1" s="1"/>
  <c r="O30" i="1" l="1"/>
  <c r="N30" i="1"/>
  <c r="Q30" i="1" s="1"/>
  <c r="F30" i="1"/>
  <c r="E30" i="1"/>
  <c r="H30" i="1" s="1"/>
  <c r="M31" i="1" l="1"/>
  <c r="P31" i="1" s="1"/>
  <c r="L31" i="1"/>
  <c r="C31" i="1"/>
  <c r="D31" i="1"/>
  <c r="G31" i="1" s="1"/>
  <c r="O31" i="1" l="1"/>
  <c r="N31" i="1"/>
  <c r="Q31" i="1" s="1"/>
  <c r="E31" i="1"/>
  <c r="H31" i="1" s="1"/>
  <c r="F31" i="1"/>
  <c r="M32" i="1" l="1"/>
  <c r="P32" i="1" s="1"/>
  <c r="L32" i="1"/>
  <c r="C32" i="1"/>
  <c r="D32" i="1"/>
  <c r="G32" i="1" s="1"/>
  <c r="O32" i="1" l="1"/>
  <c r="N32" i="1"/>
  <c r="Q32" i="1" s="1"/>
  <c r="E32" i="1"/>
  <c r="H32" i="1" s="1"/>
  <c r="F32" i="1"/>
  <c r="M33" i="1" l="1"/>
  <c r="P33" i="1" s="1"/>
  <c r="L33" i="1"/>
  <c r="C33" i="1"/>
  <c r="D33" i="1"/>
  <c r="G33" i="1" s="1"/>
  <c r="O33" i="1" l="1"/>
  <c r="N33" i="1"/>
  <c r="Q33" i="1" s="1"/>
  <c r="E33" i="1"/>
  <c r="H33" i="1" s="1"/>
  <c r="F33" i="1"/>
  <c r="M34" i="1" l="1"/>
  <c r="P34" i="1" s="1"/>
  <c r="L34" i="1"/>
  <c r="C34" i="1"/>
  <c r="D34" i="1"/>
  <c r="G34" i="1" s="1"/>
  <c r="O34" i="1" l="1"/>
  <c r="N34" i="1"/>
  <c r="Q34" i="1" s="1"/>
  <c r="F34" i="1"/>
  <c r="E34" i="1"/>
  <c r="H34" i="1" s="1"/>
  <c r="M35" i="1" l="1"/>
  <c r="P35" i="1" s="1"/>
  <c r="L35" i="1"/>
  <c r="C35" i="1"/>
  <c r="D35" i="1"/>
  <c r="G35" i="1" s="1"/>
  <c r="O35" i="1" l="1"/>
  <c r="N35" i="1"/>
  <c r="Q35" i="1" s="1"/>
  <c r="F35" i="1"/>
  <c r="E35" i="1"/>
  <c r="H35" i="1" s="1"/>
  <c r="M36" i="1" l="1"/>
  <c r="P36" i="1" s="1"/>
  <c r="L36" i="1"/>
  <c r="D36" i="1"/>
  <c r="G36" i="1" s="1"/>
  <c r="C36" i="1"/>
  <c r="O36" i="1" l="1"/>
  <c r="N36" i="1"/>
  <c r="Q36" i="1" s="1"/>
  <c r="E36" i="1"/>
  <c r="F36" i="1"/>
  <c r="H36" i="1" l="1"/>
  <c r="L37" i="1"/>
  <c r="M37" i="1"/>
  <c r="P37" i="1" s="1"/>
  <c r="N37" i="1" l="1"/>
  <c r="Q37" i="1" s="1"/>
  <c r="O37" i="1"/>
  <c r="M38" i="1" l="1"/>
  <c r="P38" i="1" s="1"/>
  <c r="L38" i="1"/>
  <c r="O38" i="1" l="1"/>
  <c r="N38" i="1"/>
  <c r="Q38" i="1" s="1"/>
  <c r="L39" i="1" l="1"/>
  <c r="M39" i="1"/>
  <c r="P39" i="1" s="1"/>
  <c r="N39" i="1" l="1"/>
  <c r="Q39" i="1" s="1"/>
  <c r="O39" i="1"/>
  <c r="L40" i="1" l="1"/>
  <c r="M40" i="1"/>
  <c r="P40" i="1" s="1"/>
  <c r="O40" i="1" l="1"/>
  <c r="N40" i="1"/>
  <c r="Q40" i="1" s="1"/>
  <c r="L41" i="1" l="1"/>
  <c r="M41" i="1"/>
  <c r="P41" i="1" s="1"/>
  <c r="N41" i="1" l="1"/>
  <c r="F43" i="1" s="1"/>
  <c r="O41" i="1"/>
  <c r="Q41" i="1" l="1"/>
</calcChain>
</file>

<file path=xl/sharedStrings.xml><?xml version="1.0" encoding="utf-8"?>
<sst xmlns="http://schemas.openxmlformats.org/spreadsheetml/2006/main" count="75" uniqueCount="33">
  <si>
    <t>SOLUCION EXACTA:</t>
  </si>
  <si>
    <t>x1=</t>
  </si>
  <si>
    <t>x2=</t>
  </si>
  <si>
    <t>FUNCION:</t>
  </si>
  <si>
    <t>BISECCION</t>
  </si>
  <si>
    <t>INTERVALO INICIAL:</t>
  </si>
  <si>
    <t>#</t>
  </si>
  <si>
    <t>a</t>
  </si>
  <si>
    <t>b</t>
  </si>
  <si>
    <t>f(a)</t>
  </si>
  <si>
    <t>f(b)</t>
  </si>
  <si>
    <t>f(m)</t>
  </si>
  <si>
    <t>tol</t>
  </si>
  <si>
    <t>m</t>
  </si>
  <si>
    <t>ERROR RELATIVO % PARA x1 y x2</t>
  </si>
  <si>
    <t>error_x1=</t>
  </si>
  <si>
    <t>error_x2=</t>
  </si>
  <si>
    <t>Newton-Raphson</t>
  </si>
  <si>
    <t>VALOR INICIAL:</t>
  </si>
  <si>
    <t>DERIVADA:</t>
  </si>
  <si>
    <t>Secante</t>
  </si>
  <si>
    <t>x</t>
  </si>
  <si>
    <t>f(x)</t>
  </si>
  <si>
    <t>f'(x)</t>
  </si>
  <si>
    <t>GRAFICO DE LA FUNCION [0,8]</t>
  </si>
  <si>
    <t>COMPARACION ENTRE METODOS - APROXIMACION x1</t>
  </si>
  <si>
    <t>En biseccion se necesito de 14 iteraciones y el error fue aprox  0,005%</t>
  </si>
  <si>
    <t>En biseccion se necesito de 3 iteraciones y el error fue aprox  0,000007%</t>
  </si>
  <si>
    <t>En biseccion se necesito de 5 iteraciones y el error fue aprox  0,0003%</t>
  </si>
  <si>
    <t>COMPARACION ENTRE METODOS - APROXIMACION x2</t>
  </si>
  <si>
    <t>En biseccion se necesito de 19 iteraciones y el error fue aprox  0,0001%</t>
  </si>
  <si>
    <t>En biseccion se necesito de 2 iteraciones y el error fue aprox  0,000004%</t>
  </si>
  <si>
    <t>En biseccion se necesito de 7 iteraciones y el error fue aprox  0,0000001%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</si>
</sst>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E+00"/>
    <numFmt numFmtId="165" formatCode="0.000000%"/>
    <numFmt numFmtId="166" formatCode="0.0000000%"/>
    <numFmt numFmtId="167" formatCode="0.0000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B3E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3" borderId="0" xfId="0" applyFont="1" applyFill="1" applyAlignment="1">
      <alignment horizontal="center"/>
    </xf>
    <xf numFmtId="0" fontId="0" fillId="4" borderId="0" xfId="0" applyFill="1"/>
    <xf numFmtId="0" fontId="2" fillId="5" borderId="0" xfId="0" applyFont="1" applyFill="1"/>
    <xf numFmtId="164" fontId="0" fillId="0" borderId="0" xfId="0" applyNumberFormat="1"/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167" fontId="0" fillId="0" borderId="0" xfId="1" applyNumberFormat="1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 wrapText="1"/>
    </xf>
    <xf numFmtId="0" fontId="4" fillId="4" borderId="0" xfId="0" applyFont="1" applyFill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7B3E5"/>
      <color rgb="FFFF99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1</xdr:row>
      <xdr:rowOff>15239</xdr:rowOff>
    </xdr:from>
    <xdr:to>
      <xdr:col>7</xdr:col>
      <xdr:colOff>544975</xdr:colOff>
      <xdr:row>4</xdr:row>
      <xdr:rowOff>17526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DA282D-D337-DABC-CF1D-6351E67829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2" t="23193" r="2828" b="53314"/>
        <a:stretch>
          <a:fillRect/>
        </a:stretch>
      </xdr:blipFill>
      <xdr:spPr bwMode="auto">
        <a:xfrm>
          <a:off x="815340" y="198119"/>
          <a:ext cx="5509260" cy="55092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245014</xdr:colOff>
      <xdr:row>16</xdr:row>
      <xdr:rowOff>54065</xdr:rowOff>
    </xdr:from>
    <xdr:to>
      <xdr:col>3</xdr:col>
      <xdr:colOff>819817</xdr:colOff>
      <xdr:row>17</xdr:row>
      <xdr:rowOff>149770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BD437A0-D8B3-5F49-E268-620932319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7802" y="3125156"/>
          <a:ext cx="2254252" cy="280432"/>
        </a:xfrm>
        <a:prstGeom prst="rect">
          <a:avLst/>
        </a:prstGeom>
      </xdr:spPr>
    </xdr:pic>
    <xdr:clientData/>
  </xdr:twoCellAnchor>
  <xdr:twoCellAnchor editAs="oneCell">
    <xdr:from>
      <xdr:col>2</xdr:col>
      <xdr:colOff>393033</xdr:colOff>
      <xdr:row>10</xdr:row>
      <xdr:rowOff>40106</xdr:rowOff>
    </xdr:from>
    <xdr:to>
      <xdr:col>5</xdr:col>
      <xdr:colOff>285748</xdr:colOff>
      <xdr:row>12</xdr:row>
      <xdr:rowOff>618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8030C57-44E5-38BD-60FE-AD10BCFEF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1201" y="1884948"/>
          <a:ext cx="2492999" cy="328863"/>
        </a:xfrm>
        <a:prstGeom prst="rect">
          <a:avLst/>
        </a:prstGeom>
      </xdr:spPr>
    </xdr:pic>
    <xdr:clientData/>
  </xdr:twoCellAnchor>
  <xdr:twoCellAnchor editAs="oneCell">
    <xdr:from>
      <xdr:col>4</xdr:col>
      <xdr:colOff>441157</xdr:colOff>
      <xdr:row>16</xdr:row>
      <xdr:rowOff>56147</xdr:rowOff>
    </xdr:from>
    <xdr:to>
      <xdr:col>7</xdr:col>
      <xdr:colOff>92684</xdr:colOff>
      <xdr:row>17</xdr:row>
      <xdr:rowOff>128337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54F7EED-DA68-B3E8-F946-206EAF526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7494" y="3120189"/>
          <a:ext cx="2062246" cy="256674"/>
        </a:xfrm>
        <a:prstGeom prst="rect">
          <a:avLst/>
        </a:prstGeom>
      </xdr:spPr>
    </xdr:pic>
    <xdr:clientData/>
  </xdr:twoCellAnchor>
  <xdr:twoCellAnchor editAs="oneCell">
    <xdr:from>
      <xdr:col>8</xdr:col>
      <xdr:colOff>319424</xdr:colOff>
      <xdr:row>15</xdr:row>
      <xdr:rowOff>56335</xdr:rowOff>
    </xdr:from>
    <xdr:to>
      <xdr:col>9</xdr:col>
      <xdr:colOff>443055</xdr:colOff>
      <xdr:row>17</xdr:row>
      <xdr:rowOff>148699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1D0AC65-46B6-569F-54F7-EC1765E1A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69381" y="2966526"/>
          <a:ext cx="945994" cy="4652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1</xdr:row>
      <xdr:rowOff>15239</xdr:rowOff>
    </xdr:from>
    <xdr:to>
      <xdr:col>7</xdr:col>
      <xdr:colOff>544975</xdr:colOff>
      <xdr:row>4</xdr:row>
      <xdr:rowOff>17526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5600CF-5472-4FAD-A5E1-A580A6E313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2" t="23193" r="2828" b="53314"/>
        <a:stretch>
          <a:fillRect/>
        </a:stretch>
      </xdr:blipFill>
      <xdr:spPr bwMode="auto">
        <a:xfrm>
          <a:off x="815340" y="198119"/>
          <a:ext cx="5497975" cy="55092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393033</xdr:colOff>
      <xdr:row>10</xdr:row>
      <xdr:rowOff>40106</xdr:rowOff>
    </xdr:from>
    <xdr:to>
      <xdr:col>5</xdr:col>
      <xdr:colOff>285748</xdr:colOff>
      <xdr:row>12</xdr:row>
      <xdr:rowOff>618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D01B4B5-E2AF-4249-BBB7-E9A87E492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7993" y="1868906"/>
          <a:ext cx="2475895" cy="326272"/>
        </a:xfrm>
        <a:prstGeom prst="rect">
          <a:avLst/>
        </a:prstGeom>
      </xdr:spPr>
    </xdr:pic>
    <xdr:clientData/>
  </xdr:twoCellAnchor>
  <xdr:twoCellAnchor editAs="oneCell">
    <xdr:from>
      <xdr:col>2</xdr:col>
      <xdr:colOff>421342</xdr:colOff>
      <xdr:row>17</xdr:row>
      <xdr:rowOff>26894</xdr:rowOff>
    </xdr:from>
    <xdr:to>
      <xdr:col>3</xdr:col>
      <xdr:colOff>487103</xdr:colOff>
      <xdr:row>18</xdr:row>
      <xdr:rowOff>152400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EABD83F-3EA8-484E-9611-EEDB05505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6302" y="9216614"/>
          <a:ext cx="942061" cy="308386"/>
        </a:xfrm>
        <a:prstGeom prst="rect">
          <a:avLst/>
        </a:prstGeom>
      </xdr:spPr>
    </xdr:pic>
    <xdr:clientData/>
  </xdr:twoCellAnchor>
  <xdr:twoCellAnchor editAs="oneCell">
    <xdr:from>
      <xdr:col>4</xdr:col>
      <xdr:colOff>358590</xdr:colOff>
      <xdr:row>17</xdr:row>
      <xdr:rowOff>17929</xdr:rowOff>
    </xdr:from>
    <xdr:to>
      <xdr:col>5</xdr:col>
      <xdr:colOff>585478</xdr:colOff>
      <xdr:row>18</xdr:row>
      <xdr:rowOff>143435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6885265-01E8-4575-9D38-9053B6BAC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19010" y="9207649"/>
          <a:ext cx="1034608" cy="308386"/>
        </a:xfrm>
        <a:prstGeom prst="rect">
          <a:avLst/>
        </a:prstGeom>
      </xdr:spPr>
    </xdr:pic>
    <xdr:clientData/>
  </xdr:twoCellAnchor>
  <xdr:twoCellAnchor editAs="oneCell">
    <xdr:from>
      <xdr:col>2</xdr:col>
      <xdr:colOff>523394</xdr:colOff>
      <xdr:row>21</xdr:row>
      <xdr:rowOff>46182</xdr:rowOff>
    </xdr:from>
    <xdr:to>
      <xdr:col>5</xdr:col>
      <xdr:colOff>423085</xdr:colOff>
      <xdr:row>23</xdr:row>
      <xdr:rowOff>200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1A65061-526D-49E2-A0DC-E01CF2A2C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08354" y="9967422"/>
          <a:ext cx="2482871" cy="319778"/>
        </a:xfrm>
        <a:prstGeom prst="rect">
          <a:avLst/>
        </a:prstGeom>
      </xdr:spPr>
    </xdr:pic>
    <xdr:clientData/>
  </xdr:twoCellAnchor>
  <xdr:twoCellAnchor editAs="oneCell">
    <xdr:from>
      <xdr:col>8</xdr:col>
      <xdr:colOff>255739</xdr:colOff>
      <xdr:row>16</xdr:row>
      <xdr:rowOff>62146</xdr:rowOff>
    </xdr:from>
    <xdr:to>
      <xdr:col>10</xdr:col>
      <xdr:colOff>421408</xdr:colOff>
      <xdr:row>19</xdr:row>
      <xdr:rowOff>125456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595A335-0A38-49F6-AF3F-B4DE5D7C1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24179" y="9068986"/>
          <a:ext cx="1880169" cy="61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1</xdr:row>
      <xdr:rowOff>15239</xdr:rowOff>
    </xdr:from>
    <xdr:to>
      <xdr:col>7</xdr:col>
      <xdr:colOff>544975</xdr:colOff>
      <xdr:row>4</xdr:row>
      <xdr:rowOff>17526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F855F7-A80D-4BDD-98EB-D87D418E92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2" t="23193" r="2828" b="53314"/>
        <a:stretch>
          <a:fillRect/>
        </a:stretch>
      </xdr:blipFill>
      <xdr:spPr bwMode="auto">
        <a:xfrm>
          <a:off x="815340" y="198119"/>
          <a:ext cx="5497975" cy="55092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393033</xdr:colOff>
      <xdr:row>10</xdr:row>
      <xdr:rowOff>40106</xdr:rowOff>
    </xdr:from>
    <xdr:to>
      <xdr:col>5</xdr:col>
      <xdr:colOff>285748</xdr:colOff>
      <xdr:row>12</xdr:row>
      <xdr:rowOff>618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F7603E9-F5DF-454E-A55C-645BFCC83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7993" y="1868906"/>
          <a:ext cx="2475895" cy="326272"/>
        </a:xfrm>
        <a:prstGeom prst="rect">
          <a:avLst/>
        </a:prstGeom>
      </xdr:spPr>
    </xdr:pic>
    <xdr:clientData/>
  </xdr:twoCellAnchor>
  <xdr:twoCellAnchor editAs="oneCell">
    <xdr:from>
      <xdr:col>7</xdr:col>
      <xdr:colOff>790990</xdr:colOff>
      <xdr:row>15</xdr:row>
      <xdr:rowOff>97275</xdr:rowOff>
    </xdr:from>
    <xdr:to>
      <xdr:col>11</xdr:col>
      <xdr:colOff>565944</xdr:colOff>
      <xdr:row>18</xdr:row>
      <xdr:rowOff>65813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97B393F-1E4D-45D9-8207-FF96D72FA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9330" y="13241775"/>
          <a:ext cx="3097274" cy="517177"/>
        </a:xfrm>
        <a:prstGeom prst="rect">
          <a:avLst/>
        </a:prstGeom>
      </xdr:spPr>
    </xdr:pic>
    <xdr:clientData/>
  </xdr:twoCellAnchor>
  <xdr:oneCellAnchor>
    <xdr:from>
      <xdr:col>1</xdr:col>
      <xdr:colOff>245014</xdr:colOff>
      <xdr:row>17</xdr:row>
      <xdr:rowOff>54065</xdr:rowOff>
    </xdr:from>
    <xdr:ext cx="2248334" cy="282152"/>
    <xdr:pic>
      <xdr:nvPicPr>
        <xdr:cNvPr id="12" name="Imagen 11">
          <a:extLst>
            <a:ext uri="{FF2B5EF4-FFF2-40B4-BE49-F238E27FC236}">
              <a16:creationId xmlns:a16="http://schemas.microsoft.com/office/drawing/2014/main" id="{F45FB39A-F9FE-432F-A44B-0256AE99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7494" y="13564325"/>
          <a:ext cx="2248334" cy="282152"/>
        </a:xfrm>
        <a:prstGeom prst="rect">
          <a:avLst/>
        </a:prstGeom>
      </xdr:spPr>
    </xdr:pic>
    <xdr:clientData/>
  </xdr:oneCellAnchor>
  <xdr:oneCellAnchor>
    <xdr:from>
      <xdr:col>4</xdr:col>
      <xdr:colOff>441157</xdr:colOff>
      <xdr:row>17</xdr:row>
      <xdr:rowOff>56147</xdr:rowOff>
    </xdr:from>
    <xdr:ext cx="2067229" cy="258637"/>
    <xdr:pic>
      <xdr:nvPicPr>
        <xdr:cNvPr id="13" name="Imagen 12">
          <a:extLst>
            <a:ext uri="{FF2B5EF4-FFF2-40B4-BE49-F238E27FC236}">
              <a16:creationId xmlns:a16="http://schemas.microsoft.com/office/drawing/2014/main" id="{532CF828-4D22-42EA-A3CC-5FE15E9AD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01577" y="13566407"/>
          <a:ext cx="2067229" cy="25863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1</xdr:row>
      <xdr:rowOff>15239</xdr:rowOff>
    </xdr:from>
    <xdr:to>
      <xdr:col>7</xdr:col>
      <xdr:colOff>544975</xdr:colOff>
      <xdr:row>4</xdr:row>
      <xdr:rowOff>17526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D327F2-5A6A-462E-92CA-1F7EF9B4D5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2" t="23193" r="2828" b="53314"/>
        <a:stretch>
          <a:fillRect/>
        </a:stretch>
      </xdr:blipFill>
      <xdr:spPr bwMode="auto">
        <a:xfrm>
          <a:off x="815340" y="198119"/>
          <a:ext cx="5497975" cy="55092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393033</xdr:colOff>
      <xdr:row>10</xdr:row>
      <xdr:rowOff>40106</xdr:rowOff>
    </xdr:from>
    <xdr:to>
      <xdr:col>5</xdr:col>
      <xdr:colOff>285748</xdr:colOff>
      <xdr:row>12</xdr:row>
      <xdr:rowOff>618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C80A5E3-BD4A-41B2-9B71-97B637D3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7993" y="1868906"/>
          <a:ext cx="2475895" cy="32627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</xdr:colOff>
      <xdr:row>14</xdr:row>
      <xdr:rowOff>132298</xdr:rowOff>
    </xdr:from>
    <xdr:to>
      <xdr:col>6</xdr:col>
      <xdr:colOff>754062</xdr:colOff>
      <xdr:row>33</xdr:row>
      <xdr:rowOff>31644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B33CFB8-68C6-0161-393C-52E036EDD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1374" y="2799298"/>
          <a:ext cx="4889501" cy="3368034"/>
        </a:xfrm>
        <a:prstGeom prst="rect">
          <a:avLst/>
        </a:prstGeom>
      </xdr:spPr>
    </xdr:pic>
    <xdr:clientData/>
  </xdr:twoCellAnchor>
  <xdr:twoCellAnchor editAs="oneCell">
    <xdr:from>
      <xdr:col>1</xdr:col>
      <xdr:colOff>70106</xdr:colOff>
      <xdr:row>37</xdr:row>
      <xdr:rowOff>31750</xdr:rowOff>
    </xdr:from>
    <xdr:to>
      <xdr:col>5</xdr:col>
      <xdr:colOff>564695</xdr:colOff>
      <xdr:row>53</xdr:row>
      <xdr:rowOff>7938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FACD496-E17C-7D36-27B6-6DCA5A98A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3856" y="7008813"/>
          <a:ext cx="3868027" cy="2897188"/>
        </a:xfrm>
        <a:prstGeom prst="rect">
          <a:avLst/>
        </a:prstGeom>
      </xdr:spPr>
    </xdr:pic>
    <xdr:clientData/>
  </xdr:twoCellAnchor>
  <xdr:twoCellAnchor editAs="oneCell">
    <xdr:from>
      <xdr:col>6</xdr:col>
      <xdr:colOff>55563</xdr:colOff>
      <xdr:row>37</xdr:row>
      <xdr:rowOff>104633</xdr:rowOff>
    </xdr:from>
    <xdr:to>
      <xdr:col>10</xdr:col>
      <xdr:colOff>417748</xdr:colOff>
      <xdr:row>52</xdr:row>
      <xdr:rowOff>134937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B7A5EAC-88ED-529E-F1CB-53A385022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32376" y="7081696"/>
          <a:ext cx="3672122" cy="2768741"/>
        </a:xfrm>
        <a:prstGeom prst="rect">
          <a:avLst/>
        </a:prstGeom>
      </xdr:spPr>
    </xdr:pic>
    <xdr:clientData/>
  </xdr:twoCellAnchor>
  <xdr:twoCellAnchor editAs="oneCell">
    <xdr:from>
      <xdr:col>11</xdr:col>
      <xdr:colOff>90456</xdr:colOff>
      <xdr:row>37</xdr:row>
      <xdr:rowOff>63500</xdr:rowOff>
    </xdr:from>
    <xdr:to>
      <xdr:col>15</xdr:col>
      <xdr:colOff>357187</xdr:colOff>
      <xdr:row>52</xdr:row>
      <xdr:rowOff>4332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62ADD3C-CC25-21EB-788C-A705F0961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86831" y="7040563"/>
          <a:ext cx="3473481" cy="2679269"/>
        </a:xfrm>
        <a:prstGeom prst="rect">
          <a:avLst/>
        </a:prstGeom>
      </xdr:spPr>
    </xdr:pic>
    <xdr:clientData/>
  </xdr:twoCellAnchor>
  <xdr:twoCellAnchor editAs="oneCell">
    <xdr:from>
      <xdr:col>1</xdr:col>
      <xdr:colOff>39687</xdr:colOff>
      <xdr:row>60</xdr:row>
      <xdr:rowOff>99219</xdr:rowOff>
    </xdr:from>
    <xdr:to>
      <xdr:col>5</xdr:col>
      <xdr:colOff>353423</xdr:colOff>
      <xdr:row>75</xdr:row>
      <xdr:rowOff>126162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EDAE84-C793-DDD0-E2C4-FD3665D24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3437" y="11386344"/>
          <a:ext cx="3687174" cy="2765381"/>
        </a:xfrm>
        <a:prstGeom prst="rect">
          <a:avLst/>
        </a:prstGeom>
      </xdr:spPr>
    </xdr:pic>
    <xdr:clientData/>
  </xdr:twoCellAnchor>
  <xdr:twoCellAnchor editAs="oneCell">
    <xdr:from>
      <xdr:col>6</xdr:col>
      <xdr:colOff>202385</xdr:colOff>
      <xdr:row>60</xdr:row>
      <xdr:rowOff>79375</xdr:rowOff>
    </xdr:from>
    <xdr:to>
      <xdr:col>10</xdr:col>
      <xdr:colOff>473947</xdr:colOff>
      <xdr:row>75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34B64B-18EF-FE67-7109-125550A48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79198" y="11366500"/>
          <a:ext cx="3581499" cy="2659063"/>
        </a:xfrm>
        <a:prstGeom prst="rect">
          <a:avLst/>
        </a:prstGeom>
      </xdr:spPr>
    </xdr:pic>
    <xdr:clientData/>
  </xdr:twoCellAnchor>
  <xdr:twoCellAnchor editAs="oneCell">
    <xdr:from>
      <xdr:col>11</xdr:col>
      <xdr:colOff>333376</xdr:colOff>
      <xdr:row>60</xdr:row>
      <xdr:rowOff>166462</xdr:rowOff>
    </xdr:from>
    <xdr:to>
      <xdr:col>15</xdr:col>
      <xdr:colOff>462934</xdr:colOff>
      <xdr:row>74</xdr:row>
      <xdr:rowOff>180137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E5977B0-3B98-4883-DD10-1BE5D5403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429751" y="11453587"/>
          <a:ext cx="3336308" cy="256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09D4-A324-49F0-9336-02BDE4B8DD02}">
  <dimension ref="A6:R93"/>
  <sheetViews>
    <sheetView topLeftCell="A25" zoomScale="90" zoomScaleNormal="90" workbookViewId="0">
      <selection activeCell="C7" sqref="C7:D8"/>
    </sheetView>
  </sheetViews>
  <sheetFormatPr baseColWidth="10" defaultRowHeight="14.4" x14ac:dyDescent="0.3"/>
  <cols>
    <col min="2" max="2" width="11.5546875" customWidth="1"/>
    <col min="3" max="3" width="12.77734375" bestFit="1" customWidth="1"/>
    <col min="4" max="4" width="13.109375" bestFit="1" customWidth="1"/>
    <col min="5" max="6" width="11.77734375" bestFit="1" customWidth="1"/>
    <col min="8" max="8" width="11.6640625" bestFit="1" customWidth="1"/>
    <col min="9" max="9" width="11.88671875" bestFit="1" customWidth="1"/>
    <col min="10" max="10" width="13.109375" bestFit="1" customWidth="1"/>
    <col min="11" max="13" width="11.77734375" bestFit="1" customWidth="1"/>
  </cols>
  <sheetData>
    <row r="6" spans="2:10" x14ac:dyDescent="0.3">
      <c r="B6" s="14" t="s">
        <v>0</v>
      </c>
      <c r="C6" s="14"/>
      <c r="D6" s="14"/>
      <c r="E6" s="14"/>
      <c r="F6" s="14"/>
      <c r="G6" s="14"/>
    </row>
    <row r="7" spans="2:10" x14ac:dyDescent="0.3">
      <c r="B7" s="17" t="s">
        <v>1</v>
      </c>
      <c r="C7" s="17">
        <v>3.2082198019999999</v>
      </c>
      <c r="D7" s="17"/>
      <c r="E7" s="17" t="s">
        <v>2</v>
      </c>
      <c r="F7" s="17">
        <v>7.4898387299999998</v>
      </c>
      <c r="G7" s="17"/>
    </row>
    <row r="8" spans="2:10" x14ac:dyDescent="0.3">
      <c r="B8" s="17"/>
      <c r="C8" s="17"/>
      <c r="D8" s="17"/>
      <c r="E8" s="17"/>
      <c r="F8" s="17"/>
      <c r="G8" s="17"/>
    </row>
    <row r="10" spans="2:10" x14ac:dyDescent="0.3">
      <c r="B10" s="14" t="s">
        <v>3</v>
      </c>
      <c r="C10" s="14"/>
      <c r="D10" s="14"/>
      <c r="E10" s="14"/>
      <c r="F10" s="14"/>
      <c r="G10" s="14"/>
    </row>
    <row r="11" spans="2:10" x14ac:dyDescent="0.3">
      <c r="B11" s="15"/>
      <c r="C11" s="15"/>
      <c r="D11" s="15"/>
      <c r="E11" s="15"/>
      <c r="F11" s="15"/>
      <c r="G11" s="15"/>
    </row>
    <row r="12" spans="2:10" x14ac:dyDescent="0.3">
      <c r="B12" s="15"/>
      <c r="C12" s="15"/>
      <c r="D12" s="15"/>
      <c r="E12" s="15"/>
      <c r="F12" s="15"/>
      <c r="G12" s="15"/>
    </row>
    <row r="14" spans="2:10" ht="23.4" x14ac:dyDescent="0.45">
      <c r="B14" s="4" t="s">
        <v>4</v>
      </c>
    </row>
    <row r="16" spans="2:10" x14ac:dyDescent="0.3">
      <c r="B16" s="16" t="s">
        <v>5</v>
      </c>
      <c r="C16" s="16"/>
      <c r="D16" s="16"/>
      <c r="E16" s="16"/>
      <c r="F16" s="16"/>
      <c r="G16" s="16"/>
      <c r="I16" s="15"/>
      <c r="J16" s="15"/>
    </row>
    <row r="17" spans="2:18" x14ac:dyDescent="0.3">
      <c r="B17" s="15"/>
      <c r="C17" s="15"/>
      <c r="D17" s="15"/>
      <c r="E17" s="15"/>
      <c r="F17" s="15"/>
      <c r="G17" s="15"/>
      <c r="I17" s="15"/>
      <c r="J17" s="15"/>
    </row>
    <row r="18" spans="2:18" x14ac:dyDescent="0.3">
      <c r="B18" s="15"/>
      <c r="C18" s="15"/>
      <c r="D18" s="15"/>
      <c r="E18" s="15"/>
      <c r="F18" s="15"/>
      <c r="G18" s="15"/>
      <c r="I18" s="15"/>
      <c r="J18" s="15"/>
    </row>
    <row r="21" spans="2:18" x14ac:dyDescent="0.3">
      <c r="B21" s="5" t="s">
        <v>6</v>
      </c>
      <c r="C21" s="5" t="s">
        <v>7</v>
      </c>
      <c r="D21" s="5" t="s">
        <v>8</v>
      </c>
      <c r="E21" s="5" t="s">
        <v>13</v>
      </c>
      <c r="F21" s="5" t="s">
        <v>9</v>
      </c>
      <c r="G21" s="5" t="s">
        <v>10</v>
      </c>
      <c r="H21" s="5" t="s">
        <v>11</v>
      </c>
      <c r="I21" s="5" t="s">
        <v>12</v>
      </c>
      <c r="K21" s="5" t="s">
        <v>6</v>
      </c>
      <c r="L21" s="5" t="s">
        <v>7</v>
      </c>
      <c r="M21" s="5" t="s">
        <v>8</v>
      </c>
      <c r="N21" s="5" t="s">
        <v>13</v>
      </c>
      <c r="O21" s="5" t="s">
        <v>9</v>
      </c>
      <c r="P21" s="5" t="s">
        <v>10</v>
      </c>
      <c r="Q21" s="5" t="s">
        <v>11</v>
      </c>
      <c r="R21" s="5" t="s">
        <v>12</v>
      </c>
    </row>
    <row r="22" spans="2:18" x14ac:dyDescent="0.3">
      <c r="B22">
        <v>0</v>
      </c>
      <c r="C22">
        <v>3</v>
      </c>
      <c r="D22">
        <v>4</v>
      </c>
      <c r="E22">
        <f>(C22+D22)/2</f>
        <v>3.5</v>
      </c>
      <c r="F22">
        <f>C22^3-EXP(0.8*C22)-20</f>
        <v>-4.0231763806416048</v>
      </c>
      <c r="G22">
        <f t="shared" ref="G22:H22" si="0">D22^3-EXP(0.8*D22)-20</f>
        <v>19.467469802890648</v>
      </c>
      <c r="H22">
        <f t="shared" si="0"/>
        <v>6.4303532289029448</v>
      </c>
      <c r="I22">
        <v>1E-4</v>
      </c>
      <c r="K22">
        <v>0</v>
      </c>
      <c r="L22">
        <v>7</v>
      </c>
      <c r="M22">
        <v>8</v>
      </c>
      <c r="N22">
        <f>(L22+M22)/2</f>
        <v>7.5</v>
      </c>
      <c r="O22">
        <f>L22^3-EXP(0.8*L22)-20</f>
        <v>52.573592573847236</v>
      </c>
      <c r="P22">
        <f t="shared" ref="P22" si="1">M22^3-EXP(0.8*M22)-20</f>
        <v>-109.84503787208223</v>
      </c>
      <c r="Q22">
        <f t="shared" ref="Q22" si="2">N22^3-EXP(0.8*N22)-20</f>
        <v>-1.5537934927351102</v>
      </c>
      <c r="R22">
        <v>1E-4</v>
      </c>
    </row>
    <row r="23" spans="2:18" x14ac:dyDescent="0.3">
      <c r="B23">
        <v>1</v>
      </c>
      <c r="C23">
        <f>IF(F22*H22&lt;0,C22,E22)</f>
        <v>3</v>
      </c>
      <c r="D23">
        <f>IF(F22*H22&lt;0,E22,D22)</f>
        <v>3.5</v>
      </c>
      <c r="E23">
        <f>(C23+D23)/2</f>
        <v>3.25</v>
      </c>
      <c r="F23">
        <f>C23^3-EXP(0.8*C23)-20</f>
        <v>-4.0231763806416048</v>
      </c>
      <c r="G23">
        <f>D23^3-EXP(0.8*D23)-20</f>
        <v>6.4303532289029448</v>
      </c>
      <c r="H23">
        <f>E23^3-EXP(0.8*E23)-20</f>
        <v>0.86438696499831025</v>
      </c>
      <c r="K23">
        <v>1</v>
      </c>
      <c r="L23">
        <f>IF(O22*Q22&lt;0,L22,N22)</f>
        <v>7</v>
      </c>
      <c r="M23">
        <f>IF(O22*Q22&lt;0,N22,M22)</f>
        <v>7.5</v>
      </c>
      <c r="N23">
        <f>(L23+M23)/2</f>
        <v>7.25</v>
      </c>
      <c r="O23">
        <f>L23^3-EXP(0.8*L23)-20</f>
        <v>52.573592573847236</v>
      </c>
      <c r="P23">
        <f>M23^3-EXP(0.8*M23)-20</f>
        <v>-1.5537934927351102</v>
      </c>
      <c r="Q23">
        <f>N23^3-EXP(0.8*N23)-20</f>
        <v>30.778565090351094</v>
      </c>
    </row>
    <row r="24" spans="2:18" x14ac:dyDescent="0.3">
      <c r="B24">
        <v>2</v>
      </c>
      <c r="C24">
        <f t="shared" ref="C24:C31" si="3">IF(F23*H23&lt;0,C23,E23)</f>
        <v>3</v>
      </c>
      <c r="D24">
        <f t="shared" ref="D24:D31" si="4">IF(F23*H23&lt;0,E23,D23)</f>
        <v>3.25</v>
      </c>
      <c r="E24">
        <f t="shared" ref="E24:E31" si="5">(C24+D24)/2</f>
        <v>3.125</v>
      </c>
      <c r="F24">
        <f t="shared" ref="F24:F31" si="6">C24^3-EXP(0.8*C24)-20</f>
        <v>-4.0231763806416048</v>
      </c>
      <c r="G24">
        <f t="shared" ref="G24:G31" si="7">D24^3-EXP(0.8*D24)-20</f>
        <v>0.86438696499831025</v>
      </c>
      <c r="H24">
        <f t="shared" ref="H24:H31" si="8">E24^3-EXP(0.8*E24)-20</f>
        <v>-1.664915835703475</v>
      </c>
      <c r="K24">
        <v>2</v>
      </c>
      <c r="L24">
        <f t="shared" ref="L24:L36" si="9">IF(O23*Q23&lt;0,L23,N23)</f>
        <v>7.25</v>
      </c>
      <c r="M24">
        <f t="shared" ref="M24:M36" si="10">IF(O23*Q23&lt;0,N23,M23)</f>
        <v>7.5</v>
      </c>
      <c r="N24">
        <f t="shared" ref="N24:N36" si="11">(L24+M24)/2</f>
        <v>7.375</v>
      </c>
      <c r="O24">
        <f t="shared" ref="O24:O36" si="12">L24^3-EXP(0.8*L24)-20</f>
        <v>30.778565090351094</v>
      </c>
      <c r="P24">
        <f t="shared" ref="P24:P36" si="13">M24^3-EXP(0.8*M24)-20</f>
        <v>-1.5537934927351102</v>
      </c>
      <c r="Q24">
        <f t="shared" ref="Q24:Q36" si="14">N24^3-EXP(0.8*N24)-20</f>
        <v>16.093391509671108</v>
      </c>
    </row>
    <row r="25" spans="2:18" x14ac:dyDescent="0.3">
      <c r="B25">
        <v>3</v>
      </c>
      <c r="C25">
        <f t="shared" si="3"/>
        <v>3.125</v>
      </c>
      <c r="D25">
        <f t="shared" si="4"/>
        <v>3.25</v>
      </c>
      <c r="E25">
        <f t="shared" si="5"/>
        <v>3.1875</v>
      </c>
      <c r="F25">
        <f t="shared" si="6"/>
        <v>-1.664915835703475</v>
      </c>
      <c r="G25">
        <f t="shared" si="7"/>
        <v>0.86438696499831025</v>
      </c>
      <c r="H25">
        <f t="shared" si="8"/>
        <v>-0.42160573578803451</v>
      </c>
      <c r="K25">
        <v>3</v>
      </c>
      <c r="L25">
        <f t="shared" si="9"/>
        <v>7.375</v>
      </c>
      <c r="M25">
        <f t="shared" si="10"/>
        <v>7.5</v>
      </c>
      <c r="N25">
        <f t="shared" si="11"/>
        <v>7.4375</v>
      </c>
      <c r="O25">
        <f t="shared" si="12"/>
        <v>16.093391509671108</v>
      </c>
      <c r="P25">
        <f t="shared" si="13"/>
        <v>-1.5537934927351102</v>
      </c>
      <c r="Q25">
        <f t="shared" si="14"/>
        <v>7.6624324232631125</v>
      </c>
    </row>
    <row r="26" spans="2:18" x14ac:dyDescent="0.3">
      <c r="B26">
        <v>4</v>
      </c>
      <c r="C26">
        <f t="shared" si="3"/>
        <v>3.1875</v>
      </c>
      <c r="D26">
        <f t="shared" si="4"/>
        <v>3.25</v>
      </c>
      <c r="E26">
        <f t="shared" si="5"/>
        <v>3.21875</v>
      </c>
      <c r="F26">
        <f t="shared" si="6"/>
        <v>-0.42160573578803451</v>
      </c>
      <c r="G26">
        <f t="shared" si="7"/>
        <v>0.86438696499831025</v>
      </c>
      <c r="H26">
        <f t="shared" si="8"/>
        <v>0.21606443330685821</v>
      </c>
      <c r="K26">
        <v>4</v>
      </c>
      <c r="L26">
        <f t="shared" si="9"/>
        <v>7.4375</v>
      </c>
      <c r="M26">
        <f t="shared" si="10"/>
        <v>7.5</v>
      </c>
      <c r="N26">
        <f t="shared" si="11"/>
        <v>7.46875</v>
      </c>
      <c r="O26">
        <f t="shared" si="12"/>
        <v>7.6624324232631125</v>
      </c>
      <c r="P26">
        <f t="shared" si="13"/>
        <v>-1.5537934927351102</v>
      </c>
      <c r="Q26">
        <f t="shared" si="14"/>
        <v>3.1554035475757587</v>
      </c>
    </row>
    <row r="27" spans="2:18" x14ac:dyDescent="0.3">
      <c r="B27">
        <v>5</v>
      </c>
      <c r="C27">
        <f t="shared" si="3"/>
        <v>3.1875</v>
      </c>
      <c r="D27">
        <f t="shared" si="4"/>
        <v>3.21875</v>
      </c>
      <c r="E27">
        <f t="shared" si="5"/>
        <v>3.203125</v>
      </c>
      <c r="F27">
        <f t="shared" si="6"/>
        <v>-0.42160573578803451</v>
      </c>
      <c r="G27">
        <f t="shared" si="7"/>
        <v>0.21606443330685821</v>
      </c>
      <c r="H27">
        <f t="shared" si="8"/>
        <v>-0.10410353645155368</v>
      </c>
      <c r="K27">
        <v>5</v>
      </c>
      <c r="L27">
        <f t="shared" si="9"/>
        <v>7.46875</v>
      </c>
      <c r="M27">
        <f t="shared" si="10"/>
        <v>7.5</v>
      </c>
      <c r="N27">
        <f t="shared" si="11"/>
        <v>7.484375</v>
      </c>
      <c r="O27">
        <f t="shared" si="12"/>
        <v>3.1554035475757587</v>
      </c>
      <c r="P27">
        <f t="shared" si="13"/>
        <v>-1.5537934927351102</v>
      </c>
      <c r="Q27">
        <f t="shared" si="14"/>
        <v>0.8264500659092846</v>
      </c>
    </row>
    <row r="28" spans="2:18" x14ac:dyDescent="0.3">
      <c r="B28">
        <v>6</v>
      </c>
      <c r="C28">
        <f t="shared" si="3"/>
        <v>3.203125</v>
      </c>
      <c r="D28">
        <f t="shared" si="4"/>
        <v>3.21875</v>
      </c>
      <c r="E28">
        <f t="shared" si="5"/>
        <v>3.2109375</v>
      </c>
      <c r="F28">
        <f t="shared" si="6"/>
        <v>-0.10410353645155368</v>
      </c>
      <c r="G28">
        <f t="shared" si="7"/>
        <v>0.21606443330685821</v>
      </c>
      <c r="H28">
        <f t="shared" si="8"/>
        <v>5.5647382134296208E-2</v>
      </c>
      <c r="K28">
        <v>6</v>
      </c>
      <c r="L28">
        <f t="shared" si="9"/>
        <v>7.484375</v>
      </c>
      <c r="M28">
        <f t="shared" si="10"/>
        <v>7.5</v>
      </c>
      <c r="N28">
        <f t="shared" si="11"/>
        <v>7.4921875</v>
      </c>
      <c r="O28">
        <f t="shared" si="12"/>
        <v>0.8264500659092846</v>
      </c>
      <c r="P28">
        <f t="shared" si="13"/>
        <v>-1.5537934927351102</v>
      </c>
      <c r="Q28">
        <f t="shared" si="14"/>
        <v>-0.35721317290773413</v>
      </c>
    </row>
    <row r="29" spans="2:18" x14ac:dyDescent="0.3">
      <c r="B29">
        <v>7</v>
      </c>
      <c r="C29">
        <f t="shared" si="3"/>
        <v>3.203125</v>
      </c>
      <c r="D29">
        <f t="shared" si="4"/>
        <v>3.2109375</v>
      </c>
      <c r="E29">
        <f t="shared" si="5"/>
        <v>3.20703125</v>
      </c>
      <c r="F29">
        <f t="shared" si="6"/>
        <v>-0.10410353645155368</v>
      </c>
      <c r="G29">
        <f t="shared" si="7"/>
        <v>5.5647382134296208E-2</v>
      </c>
      <c r="H29">
        <f t="shared" si="8"/>
        <v>-2.4311363882567605E-2</v>
      </c>
      <c r="K29">
        <v>7</v>
      </c>
      <c r="L29">
        <f t="shared" si="9"/>
        <v>7.484375</v>
      </c>
      <c r="M29">
        <f t="shared" si="10"/>
        <v>7.4921875</v>
      </c>
      <c r="N29">
        <f t="shared" si="11"/>
        <v>7.48828125</v>
      </c>
      <c r="O29">
        <f t="shared" si="12"/>
        <v>0.8264500659092846</v>
      </c>
      <c r="P29">
        <f t="shared" si="13"/>
        <v>-0.35721317290773413</v>
      </c>
      <c r="Q29">
        <f t="shared" si="14"/>
        <v>0.23622714772449172</v>
      </c>
    </row>
    <row r="30" spans="2:18" x14ac:dyDescent="0.3">
      <c r="B30">
        <v>8</v>
      </c>
      <c r="C30">
        <f t="shared" si="3"/>
        <v>3.20703125</v>
      </c>
      <c r="D30">
        <f t="shared" si="4"/>
        <v>3.2109375</v>
      </c>
      <c r="E30">
        <f t="shared" si="5"/>
        <v>3.208984375</v>
      </c>
      <c r="F30">
        <f t="shared" si="6"/>
        <v>-2.4311363882567605E-2</v>
      </c>
      <c r="G30">
        <f t="shared" si="7"/>
        <v>5.5647382134296208E-2</v>
      </c>
      <c r="H30">
        <f t="shared" si="8"/>
        <v>1.5647189915139137E-2</v>
      </c>
      <c r="K30">
        <v>8</v>
      </c>
      <c r="L30">
        <f t="shared" si="9"/>
        <v>7.48828125</v>
      </c>
      <c r="M30">
        <f t="shared" si="10"/>
        <v>7.4921875</v>
      </c>
      <c r="N30">
        <f t="shared" si="11"/>
        <v>7.490234375</v>
      </c>
      <c r="O30">
        <f t="shared" si="12"/>
        <v>0.23622714772449172</v>
      </c>
      <c r="P30">
        <f t="shared" si="13"/>
        <v>-0.35721317290773413</v>
      </c>
      <c r="Q30">
        <f t="shared" si="14"/>
        <v>-6.0090097039847024E-2</v>
      </c>
    </row>
    <row r="31" spans="2:18" x14ac:dyDescent="0.3">
      <c r="B31">
        <v>9</v>
      </c>
      <c r="C31">
        <f t="shared" si="3"/>
        <v>3.20703125</v>
      </c>
      <c r="D31">
        <f t="shared" si="4"/>
        <v>3.208984375</v>
      </c>
      <c r="E31">
        <f t="shared" si="5"/>
        <v>3.2080078125</v>
      </c>
      <c r="F31">
        <f t="shared" si="6"/>
        <v>-2.4311363882567605E-2</v>
      </c>
      <c r="G31">
        <f t="shared" si="7"/>
        <v>1.5647189915139137E-2</v>
      </c>
      <c r="H31">
        <f t="shared" si="8"/>
        <v>-4.3372920982065466E-3</v>
      </c>
      <c r="K31">
        <v>9</v>
      </c>
      <c r="L31">
        <f t="shared" si="9"/>
        <v>7.48828125</v>
      </c>
      <c r="M31">
        <f t="shared" si="10"/>
        <v>7.490234375</v>
      </c>
      <c r="N31">
        <f t="shared" si="11"/>
        <v>7.4892578125</v>
      </c>
      <c r="O31">
        <f t="shared" si="12"/>
        <v>0.23622714772449172</v>
      </c>
      <c r="P31">
        <f t="shared" si="13"/>
        <v>-6.0090097039847024E-2</v>
      </c>
      <c r="Q31">
        <f t="shared" si="14"/>
        <v>8.8169161606231228E-2</v>
      </c>
    </row>
    <row r="32" spans="2:18" x14ac:dyDescent="0.3">
      <c r="B32">
        <v>10</v>
      </c>
      <c r="C32">
        <f t="shared" ref="C32:C36" si="15">IF(F31*H31&lt;0,C31,E31)</f>
        <v>3.2080078125</v>
      </c>
      <c r="D32">
        <f t="shared" ref="D32:D36" si="16">IF(F31*H31&lt;0,E31,D31)</f>
        <v>3.208984375</v>
      </c>
      <c r="E32">
        <f t="shared" ref="E32:E36" si="17">(C32+D32)/2</f>
        <v>3.20849609375</v>
      </c>
      <c r="F32">
        <f t="shared" ref="F32:F36" si="18">C32^3-EXP(0.8*C32)-20</f>
        <v>-4.3372920982065466E-3</v>
      </c>
      <c r="G32">
        <f t="shared" ref="G32:G36" si="19">D32^3-EXP(0.8*D32)-20</f>
        <v>1.5647189915139137E-2</v>
      </c>
      <c r="H32">
        <f t="shared" ref="H32:H36" si="20">E32^3-EXP(0.8*E32)-20</f>
        <v>5.6536476686304127E-3</v>
      </c>
      <c r="K32">
        <v>10</v>
      </c>
      <c r="L32">
        <f t="shared" si="9"/>
        <v>7.4892578125</v>
      </c>
      <c r="M32">
        <f t="shared" si="10"/>
        <v>7.490234375</v>
      </c>
      <c r="N32">
        <f t="shared" si="11"/>
        <v>7.48974609375</v>
      </c>
      <c r="O32">
        <f t="shared" si="12"/>
        <v>8.8169161606231228E-2</v>
      </c>
      <c r="P32">
        <f t="shared" si="13"/>
        <v>-6.0090097039847024E-2</v>
      </c>
      <c r="Q32">
        <f t="shared" si="14"/>
        <v>1.406470292135964E-2</v>
      </c>
    </row>
    <row r="33" spans="2:17" x14ac:dyDescent="0.3">
      <c r="B33">
        <v>11</v>
      </c>
      <c r="C33">
        <f t="shared" si="15"/>
        <v>3.2080078125</v>
      </c>
      <c r="D33">
        <f t="shared" si="16"/>
        <v>3.20849609375</v>
      </c>
      <c r="E33">
        <f t="shared" si="17"/>
        <v>3.208251953125</v>
      </c>
      <c r="F33">
        <f t="shared" si="18"/>
        <v>-4.3372920982065466E-3</v>
      </c>
      <c r="G33">
        <f t="shared" si="19"/>
        <v>5.6536476686304127E-3</v>
      </c>
      <c r="H33">
        <f t="shared" si="20"/>
        <v>6.5785247038974148E-4</v>
      </c>
      <c r="K33">
        <v>11</v>
      </c>
      <c r="L33">
        <f t="shared" si="9"/>
        <v>7.48974609375</v>
      </c>
      <c r="M33">
        <f t="shared" si="10"/>
        <v>7.490234375</v>
      </c>
      <c r="N33">
        <f t="shared" si="11"/>
        <v>7.489990234375</v>
      </c>
      <c r="O33">
        <f t="shared" si="12"/>
        <v>1.406470292135964E-2</v>
      </c>
      <c r="P33">
        <f t="shared" si="13"/>
        <v>-6.0090097039847024E-2</v>
      </c>
      <c r="Q33">
        <f t="shared" si="14"/>
        <v>-2.300640295266021E-2</v>
      </c>
    </row>
    <row r="34" spans="2:17" x14ac:dyDescent="0.3">
      <c r="B34">
        <v>12</v>
      </c>
      <c r="C34">
        <f t="shared" si="15"/>
        <v>3.2080078125</v>
      </c>
      <c r="D34">
        <f t="shared" si="16"/>
        <v>3.208251953125</v>
      </c>
      <c r="E34">
        <f t="shared" si="17"/>
        <v>3.2081298828125</v>
      </c>
      <c r="F34">
        <f t="shared" si="18"/>
        <v>-4.3372920982065466E-3</v>
      </c>
      <c r="G34">
        <f t="shared" si="19"/>
        <v>6.5785247038974148E-4</v>
      </c>
      <c r="H34">
        <f t="shared" si="20"/>
        <v>-1.8398011432196881E-3</v>
      </c>
      <c r="K34">
        <v>12</v>
      </c>
      <c r="L34">
        <f t="shared" si="9"/>
        <v>7.48974609375</v>
      </c>
      <c r="M34">
        <f t="shared" si="10"/>
        <v>7.489990234375</v>
      </c>
      <c r="N34">
        <f t="shared" si="11"/>
        <v>7.4898681640625</v>
      </c>
      <c r="O34">
        <f t="shared" si="12"/>
        <v>1.406470292135964E-2</v>
      </c>
      <c r="P34">
        <f t="shared" si="13"/>
        <v>-2.300640295266021E-2</v>
      </c>
      <c r="Q34">
        <f t="shared" si="14"/>
        <v>-4.4692766700791253E-3</v>
      </c>
    </row>
    <row r="35" spans="2:17" x14ac:dyDescent="0.3">
      <c r="B35">
        <v>13</v>
      </c>
      <c r="C35">
        <f t="shared" si="15"/>
        <v>3.2081298828125</v>
      </c>
      <c r="D35">
        <f t="shared" si="16"/>
        <v>3.208251953125</v>
      </c>
      <c r="E35">
        <f t="shared" si="17"/>
        <v>3.20819091796875</v>
      </c>
      <c r="F35">
        <f t="shared" si="18"/>
        <v>-1.8398011432196881E-3</v>
      </c>
      <c r="G35">
        <f t="shared" si="19"/>
        <v>6.5785247038974148E-4</v>
      </c>
      <c r="H35">
        <f t="shared" si="20"/>
        <v>-5.9099466866285866E-4</v>
      </c>
      <c r="K35">
        <v>13</v>
      </c>
      <c r="L35">
        <f t="shared" si="9"/>
        <v>7.48974609375</v>
      </c>
      <c r="M35">
        <f t="shared" si="10"/>
        <v>7.4898681640625</v>
      </c>
      <c r="N35">
        <f t="shared" si="11"/>
        <v>7.48980712890625</v>
      </c>
      <c r="O35">
        <f t="shared" si="12"/>
        <v>1.406470292135964E-2</v>
      </c>
      <c r="P35">
        <f t="shared" si="13"/>
        <v>-4.4692766700791253E-3</v>
      </c>
      <c r="Q35">
        <f t="shared" si="14"/>
        <v>4.7981064394662098E-3</v>
      </c>
    </row>
    <row r="36" spans="2:17" x14ac:dyDescent="0.3">
      <c r="B36">
        <v>14</v>
      </c>
      <c r="C36">
        <f t="shared" si="15"/>
        <v>3.20819091796875</v>
      </c>
      <c r="D36">
        <f t="shared" si="16"/>
        <v>3.208251953125</v>
      </c>
      <c r="E36" s="7">
        <f t="shared" si="17"/>
        <v>3.208221435546875</v>
      </c>
      <c r="F36">
        <f t="shared" si="18"/>
        <v>-5.9099466866285866E-4</v>
      </c>
      <c r="G36">
        <f t="shared" si="19"/>
        <v>6.5785247038974148E-4</v>
      </c>
      <c r="H36" s="6">
        <f t="shared" si="20"/>
        <v>3.3423817811240042E-5</v>
      </c>
      <c r="K36">
        <v>14</v>
      </c>
      <c r="L36">
        <f t="shared" si="9"/>
        <v>7.48980712890625</v>
      </c>
      <c r="M36">
        <f t="shared" si="10"/>
        <v>7.4898681640625</v>
      </c>
      <c r="N36">
        <f t="shared" si="11"/>
        <v>7.489837646484375</v>
      </c>
      <c r="O36">
        <f t="shared" si="12"/>
        <v>4.7981064394662098E-3</v>
      </c>
      <c r="P36">
        <f t="shared" si="13"/>
        <v>-4.4692766700791253E-3</v>
      </c>
      <c r="Q36">
        <f t="shared" si="14"/>
        <v>1.6451321619115333E-4</v>
      </c>
    </row>
    <row r="37" spans="2:17" x14ac:dyDescent="0.3">
      <c r="K37">
        <v>15</v>
      </c>
      <c r="L37">
        <f t="shared" ref="L37:L38" si="21">IF(O36*Q36&lt;0,L36,N36)</f>
        <v>7.489837646484375</v>
      </c>
      <c r="M37">
        <f t="shared" ref="M37:M38" si="22">IF(O36*Q36&lt;0,N36,M36)</f>
        <v>7.4898681640625</v>
      </c>
      <c r="N37">
        <f t="shared" ref="N37:N38" si="23">(L37+M37)/2</f>
        <v>7.4898529052734375</v>
      </c>
      <c r="O37">
        <f t="shared" ref="O37:O38" si="24">L37^3-EXP(0.8*L37)-20</f>
        <v>1.6451321619115333E-4</v>
      </c>
      <c r="P37">
        <f t="shared" ref="P37:P38" si="25">M37^3-EXP(0.8*M37)-20</f>
        <v>-4.4692766700791253E-3</v>
      </c>
      <c r="Q37">
        <f t="shared" ref="Q37:Q38" si="26">N37^3-EXP(0.8*N37)-20</f>
        <v>-2.1523571436432576E-3</v>
      </c>
    </row>
    <row r="38" spans="2:17" x14ac:dyDescent="0.3">
      <c r="K38">
        <v>16</v>
      </c>
      <c r="L38">
        <f t="shared" si="21"/>
        <v>7.489837646484375</v>
      </c>
      <c r="M38">
        <f t="shared" si="22"/>
        <v>7.4898529052734375</v>
      </c>
      <c r="N38">
        <f t="shared" si="23"/>
        <v>7.4898452758789063</v>
      </c>
      <c r="O38">
        <f t="shared" si="24"/>
        <v>1.6451321619115333E-4</v>
      </c>
      <c r="P38">
        <f t="shared" si="25"/>
        <v>-2.1523571436432576E-3</v>
      </c>
      <c r="Q38">
        <f t="shared" si="26"/>
        <v>-9.939158181282437E-4</v>
      </c>
    </row>
    <row r="39" spans="2:17" x14ac:dyDescent="0.3">
      <c r="K39">
        <v>17</v>
      </c>
      <c r="L39">
        <f t="shared" ref="L39:L41" si="27">IF(O38*Q38&lt;0,L38,N38)</f>
        <v>7.489837646484375</v>
      </c>
      <c r="M39">
        <f t="shared" ref="M39:M41" si="28">IF(O38*Q38&lt;0,N38,M38)</f>
        <v>7.4898452758789063</v>
      </c>
      <c r="N39">
        <f t="shared" ref="N39:N41" si="29">(L39+M39)/2</f>
        <v>7.4898414611816406</v>
      </c>
      <c r="O39">
        <f t="shared" ref="O39:O41" si="30">L39^3-EXP(0.8*L39)-20</f>
        <v>1.6451321619115333E-4</v>
      </c>
      <c r="P39">
        <f t="shared" ref="P39:P41" si="31">M39^3-EXP(0.8*M39)-20</f>
        <v>-9.939158181282437E-4</v>
      </c>
      <c r="Q39">
        <f t="shared" ref="Q39:Q41" si="32">N39^3-EXP(0.8*N39)-20</f>
        <v>-4.146997645761985E-4</v>
      </c>
    </row>
    <row r="40" spans="2:17" x14ac:dyDescent="0.3">
      <c r="K40">
        <v>18</v>
      </c>
      <c r="L40">
        <f t="shared" si="27"/>
        <v>7.489837646484375</v>
      </c>
      <c r="M40">
        <f t="shared" si="28"/>
        <v>7.4898414611816406</v>
      </c>
      <c r="N40">
        <f t="shared" si="29"/>
        <v>7.4898395538330078</v>
      </c>
      <c r="O40">
        <f t="shared" si="30"/>
        <v>1.6451321619115333E-4</v>
      </c>
      <c r="P40">
        <f t="shared" si="31"/>
        <v>-4.146997645761985E-4</v>
      </c>
      <c r="Q40">
        <f t="shared" si="32"/>
        <v>-1.2509289030049331E-4</v>
      </c>
    </row>
    <row r="41" spans="2:17" x14ac:dyDescent="0.3">
      <c r="C41" s="8"/>
      <c r="D41" s="8"/>
      <c r="K41">
        <v>19</v>
      </c>
      <c r="L41">
        <f t="shared" si="27"/>
        <v>7.489837646484375</v>
      </c>
      <c r="M41">
        <f t="shared" si="28"/>
        <v>7.4898395538330078</v>
      </c>
      <c r="N41" s="7">
        <f t="shared" si="29"/>
        <v>7.4898386001586914</v>
      </c>
      <c r="O41">
        <f t="shared" si="30"/>
        <v>1.6451321619115333E-4</v>
      </c>
      <c r="P41">
        <f t="shared" si="31"/>
        <v>-1.2509289030049331E-4</v>
      </c>
      <c r="Q41" s="6">
        <f t="shared" si="32"/>
        <v>1.9710259152816434E-5</v>
      </c>
    </row>
    <row r="42" spans="2:17" x14ac:dyDescent="0.3">
      <c r="B42" s="16" t="s">
        <v>14</v>
      </c>
      <c r="C42" s="16"/>
      <c r="D42" s="16"/>
      <c r="E42" s="16"/>
      <c r="F42" s="16"/>
      <c r="G42" s="16"/>
      <c r="N42" s="2"/>
    </row>
    <row r="43" spans="2:17" x14ac:dyDescent="0.3">
      <c r="B43" s="17" t="s">
        <v>15</v>
      </c>
      <c r="C43" s="18">
        <f>ABS($C$7-E36)/ABS($C$7)*100</f>
        <v>5.0917548544625671E-5</v>
      </c>
      <c r="D43" s="18"/>
      <c r="E43" s="17" t="s">
        <v>16</v>
      </c>
      <c r="F43" s="19">
        <f>ABS($F$7-N41)/ABS($F$7)*100</f>
        <v>1.733566142774358E-6</v>
      </c>
      <c r="G43" s="19"/>
      <c r="N43" s="2"/>
    </row>
    <row r="44" spans="2:17" x14ac:dyDescent="0.3">
      <c r="B44" s="17"/>
      <c r="C44" s="18"/>
      <c r="D44" s="18"/>
      <c r="E44" s="17"/>
      <c r="F44" s="19"/>
      <c r="G44" s="19"/>
    </row>
    <row r="47" spans="2:17" ht="23.4" x14ac:dyDescent="0.45">
      <c r="B47" s="4"/>
    </row>
    <row r="49" spans="2:15" x14ac:dyDescent="0.3">
      <c r="B49" s="2"/>
      <c r="C49" s="2"/>
      <c r="D49" s="2"/>
      <c r="E49" s="2"/>
      <c r="F49" s="2"/>
      <c r="G49" s="2"/>
      <c r="I49" s="2"/>
      <c r="J49" s="2"/>
      <c r="K49" s="2"/>
    </row>
    <row r="50" spans="2:15" x14ac:dyDescent="0.3">
      <c r="I50" s="2"/>
      <c r="J50" s="2"/>
      <c r="K50" s="2"/>
    </row>
    <row r="51" spans="2:15" x14ac:dyDescent="0.3">
      <c r="I51" s="2"/>
      <c r="J51" s="2"/>
      <c r="K51" s="2"/>
    </row>
    <row r="52" spans="2:15" x14ac:dyDescent="0.3">
      <c r="I52" s="2"/>
      <c r="J52" s="2"/>
      <c r="K52" s="2"/>
    </row>
    <row r="53" spans="2:15" x14ac:dyDescent="0.3">
      <c r="B53" s="2"/>
      <c r="C53" s="2"/>
      <c r="D53" s="2"/>
      <c r="E53" s="2"/>
      <c r="F53" s="2"/>
      <c r="G53" s="2"/>
      <c r="I53" s="2"/>
      <c r="J53" s="2"/>
      <c r="K53" s="2"/>
    </row>
    <row r="58" spans="2:15" x14ac:dyDescent="0.3">
      <c r="B58" s="3"/>
      <c r="C58" s="3"/>
      <c r="D58" s="3"/>
      <c r="E58" s="3"/>
      <c r="F58" s="3"/>
      <c r="G58" s="3"/>
      <c r="I58" s="3"/>
      <c r="J58" s="3"/>
      <c r="K58" s="3"/>
      <c r="L58" s="3"/>
      <c r="M58" s="3"/>
      <c r="O58" s="3"/>
    </row>
    <row r="60" spans="2:15" x14ac:dyDescent="0.3">
      <c r="M60" s="2"/>
    </row>
    <row r="61" spans="2:15" x14ac:dyDescent="0.3">
      <c r="F61" s="2"/>
      <c r="J61" s="2"/>
      <c r="M61" s="2"/>
    </row>
    <row r="62" spans="2:15" x14ac:dyDescent="0.3">
      <c r="C62" s="2"/>
    </row>
    <row r="65" spans="1:11" x14ac:dyDescent="0.3">
      <c r="B65" s="2"/>
      <c r="C65" s="2"/>
      <c r="D65" s="2"/>
      <c r="E65" s="2"/>
      <c r="F65" s="2"/>
      <c r="G65" s="2"/>
    </row>
    <row r="66" spans="1:11" x14ac:dyDescent="0.3">
      <c r="B66" s="11"/>
      <c r="C66" s="12"/>
      <c r="D66" s="12"/>
      <c r="E66" s="11"/>
      <c r="F66" s="13"/>
      <c r="G66" s="13"/>
    </row>
    <row r="67" spans="1:11" x14ac:dyDescent="0.3">
      <c r="B67" s="11"/>
      <c r="C67" s="12"/>
      <c r="D67" s="12"/>
      <c r="E67" s="11"/>
      <c r="F67" s="13"/>
      <c r="G67" s="13"/>
    </row>
    <row r="70" spans="1:11" ht="23.4" x14ac:dyDescent="0.45">
      <c r="B70" s="4"/>
      <c r="C70" s="4"/>
    </row>
    <row r="72" spans="1:11" x14ac:dyDescent="0.3">
      <c r="B72" s="2"/>
      <c r="C72" s="2"/>
      <c r="D72" s="2"/>
      <c r="E72" s="2"/>
      <c r="F72" s="2"/>
      <c r="G72" s="2"/>
    </row>
    <row r="74" spans="1:11" x14ac:dyDescent="0.3">
      <c r="A74" s="1"/>
    </row>
    <row r="75" spans="1:11" x14ac:dyDescent="0.3">
      <c r="A75" s="1"/>
      <c r="B75" s="1"/>
      <c r="C75" s="1"/>
      <c r="D75" s="1"/>
      <c r="E75" s="1"/>
      <c r="F75" s="1"/>
    </row>
    <row r="77" spans="1:11" x14ac:dyDescent="0.3">
      <c r="B77" s="3"/>
      <c r="C77" s="3"/>
      <c r="D77" s="3"/>
      <c r="E77" s="3"/>
      <c r="H77" s="3"/>
      <c r="I77" s="3"/>
      <c r="J77" s="3"/>
      <c r="K77" s="3"/>
    </row>
    <row r="83" spans="2:9" x14ac:dyDescent="0.3">
      <c r="C83" s="2"/>
    </row>
    <row r="85" spans="2:9" x14ac:dyDescent="0.3">
      <c r="I85" s="2"/>
    </row>
    <row r="88" spans="2:9" x14ac:dyDescent="0.3">
      <c r="B88" s="2"/>
      <c r="C88" s="2"/>
      <c r="D88" s="2"/>
      <c r="E88" s="2"/>
      <c r="F88" s="2"/>
      <c r="G88" s="2"/>
    </row>
    <row r="89" spans="2:9" x14ac:dyDescent="0.3">
      <c r="B89" s="11"/>
      <c r="C89" s="12"/>
      <c r="D89" s="12"/>
      <c r="E89" s="11"/>
      <c r="F89" s="13"/>
      <c r="G89" s="13"/>
    </row>
    <row r="90" spans="2:9" x14ac:dyDescent="0.3">
      <c r="B90" s="11"/>
      <c r="C90" s="12"/>
      <c r="D90" s="12"/>
      <c r="E90" s="11"/>
      <c r="F90" s="13"/>
      <c r="G90" s="13"/>
    </row>
    <row r="93" spans="2:9" ht="14.4" customHeight="1" x14ac:dyDescent="0.45">
      <c r="B93" s="4"/>
    </row>
  </sheetData>
  <mergeCells count="15">
    <mergeCell ref="B6:G6"/>
    <mergeCell ref="I16:J18"/>
    <mergeCell ref="B42:G42"/>
    <mergeCell ref="B43:B44"/>
    <mergeCell ref="E43:E44"/>
    <mergeCell ref="C43:D44"/>
    <mergeCell ref="F43:G44"/>
    <mergeCell ref="B16:G16"/>
    <mergeCell ref="B17:G18"/>
    <mergeCell ref="B10:G10"/>
    <mergeCell ref="B11:G12"/>
    <mergeCell ref="B7:B8"/>
    <mergeCell ref="C7:D8"/>
    <mergeCell ref="E7:E8"/>
    <mergeCell ref="F7:G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DB6B-D219-467E-A805-01CE87C2C812}">
  <dimension ref="B6:O35"/>
  <sheetViews>
    <sheetView topLeftCell="A13" zoomScale="96" zoomScaleNormal="96" workbookViewId="0">
      <selection activeCell="F7" sqref="F7:G8"/>
    </sheetView>
  </sheetViews>
  <sheetFormatPr baseColWidth="10" defaultRowHeight="14.4" x14ac:dyDescent="0.3"/>
  <cols>
    <col min="2" max="2" width="11.5546875" customWidth="1"/>
    <col min="3" max="3" width="12.77734375" bestFit="1" customWidth="1"/>
    <col min="4" max="4" width="13.109375" bestFit="1" customWidth="1"/>
    <col min="5" max="6" width="11.77734375" bestFit="1" customWidth="1"/>
    <col min="8" max="8" width="11.6640625" bestFit="1" customWidth="1"/>
    <col min="9" max="9" width="11.88671875" bestFit="1" customWidth="1"/>
    <col min="10" max="10" width="13.109375" bestFit="1" customWidth="1"/>
    <col min="11" max="13" width="11.77734375" bestFit="1" customWidth="1"/>
  </cols>
  <sheetData>
    <row r="6" spans="2:7" x14ac:dyDescent="0.3">
      <c r="B6" s="14" t="s">
        <v>0</v>
      </c>
      <c r="C6" s="14"/>
      <c r="D6" s="14"/>
      <c r="E6" s="14"/>
      <c r="F6" s="14"/>
      <c r="G6" s="14"/>
    </row>
    <row r="7" spans="2:7" x14ac:dyDescent="0.3">
      <c r="B7" s="17" t="s">
        <v>1</v>
      </c>
      <c r="C7" s="17">
        <v>3.2082198019999999</v>
      </c>
      <c r="D7" s="17"/>
      <c r="E7" s="17" t="s">
        <v>2</v>
      </c>
      <c r="F7" s="17">
        <v>7.4898387299999998</v>
      </c>
      <c r="G7" s="17"/>
    </row>
    <row r="8" spans="2:7" x14ac:dyDescent="0.3">
      <c r="B8" s="17"/>
      <c r="C8" s="17"/>
      <c r="D8" s="17"/>
      <c r="E8" s="17"/>
      <c r="F8" s="17"/>
      <c r="G8" s="17"/>
    </row>
    <row r="10" spans="2:7" x14ac:dyDescent="0.3">
      <c r="B10" s="14" t="s">
        <v>3</v>
      </c>
      <c r="C10" s="14"/>
      <c r="D10" s="14"/>
      <c r="E10" s="14"/>
      <c r="F10" s="14"/>
      <c r="G10" s="14"/>
    </row>
    <row r="11" spans="2:7" x14ac:dyDescent="0.3">
      <c r="B11" s="15"/>
      <c r="C11" s="15"/>
      <c r="D11" s="15"/>
      <c r="E11" s="15"/>
      <c r="F11" s="15"/>
      <c r="G11" s="15"/>
    </row>
    <row r="12" spans="2:7" x14ac:dyDescent="0.3">
      <c r="B12" s="15"/>
      <c r="C12" s="15"/>
      <c r="D12" s="15"/>
      <c r="E12" s="15"/>
      <c r="F12" s="15"/>
      <c r="G12" s="15"/>
    </row>
    <row r="15" spans="2:7" ht="23.4" x14ac:dyDescent="0.45">
      <c r="B15" s="4" t="s">
        <v>17</v>
      </c>
    </row>
    <row r="17" spans="2:15" x14ac:dyDescent="0.3">
      <c r="B17" s="22" t="s">
        <v>18</v>
      </c>
      <c r="C17" s="22"/>
      <c r="D17" s="22"/>
      <c r="E17" s="22"/>
      <c r="F17" s="22"/>
      <c r="G17" s="22"/>
      <c r="I17" s="23"/>
      <c r="J17" s="23"/>
      <c r="K17" s="23"/>
    </row>
    <row r="18" spans="2:15" x14ac:dyDescent="0.3">
      <c r="B18" s="15"/>
      <c r="C18" s="15"/>
      <c r="D18" s="15"/>
      <c r="E18" s="15"/>
      <c r="F18" s="15"/>
      <c r="G18" s="15"/>
      <c r="I18" s="23"/>
      <c r="J18" s="23"/>
      <c r="K18" s="23"/>
    </row>
    <row r="19" spans="2:15" x14ac:dyDescent="0.3">
      <c r="B19" s="15"/>
      <c r="C19" s="15"/>
      <c r="D19" s="15"/>
      <c r="E19" s="15"/>
      <c r="F19" s="15"/>
      <c r="G19" s="15"/>
      <c r="I19" s="23"/>
      <c r="J19" s="23"/>
      <c r="K19" s="23"/>
    </row>
    <row r="20" spans="2:15" x14ac:dyDescent="0.3">
      <c r="I20" s="23"/>
      <c r="J20" s="23"/>
      <c r="K20" s="23"/>
    </row>
    <row r="21" spans="2:15" x14ac:dyDescent="0.3">
      <c r="B21" s="22" t="s">
        <v>19</v>
      </c>
      <c r="C21" s="22"/>
      <c r="D21" s="22"/>
      <c r="E21" s="22"/>
      <c r="F21" s="22"/>
      <c r="G21" s="22"/>
      <c r="I21" s="2"/>
      <c r="J21" s="2"/>
      <c r="K21" s="2"/>
    </row>
    <row r="22" spans="2:15" x14ac:dyDescent="0.3">
      <c r="B22" s="15"/>
      <c r="C22" s="15"/>
      <c r="D22" s="15"/>
      <c r="E22" s="15"/>
      <c r="F22" s="15"/>
      <c r="G22" s="15"/>
    </row>
    <row r="23" spans="2:15" x14ac:dyDescent="0.3">
      <c r="B23" s="15"/>
      <c r="C23" s="15"/>
      <c r="D23" s="15"/>
      <c r="E23" s="15"/>
      <c r="F23" s="15"/>
      <c r="G23" s="15"/>
    </row>
    <row r="26" spans="2:15" x14ac:dyDescent="0.3">
      <c r="B26" s="9" t="s">
        <v>6</v>
      </c>
      <c r="C26" s="9" t="s">
        <v>21</v>
      </c>
      <c r="D26" s="9" t="s">
        <v>22</v>
      </c>
      <c r="E26" s="9" t="s">
        <v>23</v>
      </c>
      <c r="F26" s="9" t="s">
        <v>12</v>
      </c>
      <c r="G26" s="3"/>
      <c r="I26" s="9" t="s">
        <v>6</v>
      </c>
      <c r="J26" s="9" t="s">
        <v>21</v>
      </c>
      <c r="K26" s="9" t="s">
        <v>22</v>
      </c>
      <c r="L26" s="9" t="s">
        <v>23</v>
      </c>
      <c r="M26" s="9" t="s">
        <v>12</v>
      </c>
      <c r="O26" s="3"/>
    </row>
    <row r="27" spans="2:15" x14ac:dyDescent="0.3">
      <c r="B27">
        <v>0</v>
      </c>
      <c r="C27">
        <v>3.5</v>
      </c>
      <c r="D27">
        <f>C27^3-EXP(0.8*C27)-20</f>
        <v>6.4303532289029448</v>
      </c>
      <c r="E27">
        <f>3*(C27^2)-0.8*EXP(0.8*C27)</f>
        <v>23.594282583122357</v>
      </c>
      <c r="F27">
        <v>1E-4</v>
      </c>
      <c r="I27">
        <v>0</v>
      </c>
      <c r="J27">
        <v>7.5</v>
      </c>
      <c r="K27">
        <f>J27^3-EXP(0.8*J27)-20</f>
        <v>-1.5537934927351102</v>
      </c>
      <c r="L27">
        <f>3*(J27^2)-0.8*EXP(0.8*J27)</f>
        <v>-153.99303479418813</v>
      </c>
      <c r="M27">
        <v>1E-4</v>
      </c>
    </row>
    <row r="28" spans="2:15" x14ac:dyDescent="0.3">
      <c r="B28">
        <v>1</v>
      </c>
      <c r="C28">
        <f>C27-(D27/E27)</f>
        <v>3.2274613794147422</v>
      </c>
      <c r="D28">
        <f>C28^3-EXP(0.8*C28)-20</f>
        <v>0.39572361474333917</v>
      </c>
      <c r="E28">
        <f>3*(C28^2)-0.8*EXP(0.8*C28)</f>
        <v>20.67100063251717</v>
      </c>
      <c r="I28">
        <v>1</v>
      </c>
      <c r="J28">
        <f>J27-(K27/L27)</f>
        <v>7.4899099755075822</v>
      </c>
      <c r="K28">
        <f>J28^3-EXP(0.8*J28)-20</f>
        <v>-1.0818246930170972E-2</v>
      </c>
      <c r="L28">
        <f>3*(J28^2)-0.8*EXP(0.8*J28)</f>
        <v>-151.85207870033943</v>
      </c>
      <c r="M28" s="2"/>
    </row>
    <row r="29" spans="2:15" x14ac:dyDescent="0.3">
      <c r="B29">
        <v>2</v>
      </c>
      <c r="C29">
        <f>C28-(D28/E28)</f>
        <v>3.2083174772022467</v>
      </c>
      <c r="D29">
        <f>C29^3-EXP(0.8*C29)-20</f>
        <v>1.9985931829964443E-3</v>
      </c>
      <c r="E29">
        <f>3*(C29^2)-0.8*EXP(0.8*C29)</f>
        <v>20.462159892383411</v>
      </c>
      <c r="F29" s="2"/>
      <c r="I29">
        <v>2</v>
      </c>
      <c r="J29" s="7">
        <f>J28-(K28/L28)</f>
        <v>7.4898387335000791</v>
      </c>
      <c r="K29">
        <f>J29^3-EXP(0.8*J29)-20</f>
        <v>-5.3589991466651554E-7</v>
      </c>
      <c r="L29">
        <f>3*(J29^2)-0.8*EXP(0.8*J29)</f>
        <v>-151.83703437444882</v>
      </c>
      <c r="M29" s="2"/>
    </row>
    <row r="30" spans="2:15" x14ac:dyDescent="0.3">
      <c r="B30">
        <v>3</v>
      </c>
      <c r="C30" s="7">
        <f>C29-(D29/E29)</f>
        <v>3.2082198045619434</v>
      </c>
      <c r="D30">
        <f t="shared" ref="D30" si="0">C30^3-EXP(0.8*C30)-20</f>
        <v>5.2067743894212981E-8</v>
      </c>
      <c r="E30">
        <f t="shared" ref="E30" si="1">3*(C30^2)-0.8*EXP(0.8*C30)</f>
        <v>20.461093722955745</v>
      </c>
    </row>
    <row r="33" spans="2:7" x14ac:dyDescent="0.3">
      <c r="B33" s="22" t="s">
        <v>14</v>
      </c>
      <c r="C33" s="22"/>
      <c r="D33" s="22"/>
      <c r="E33" s="22"/>
      <c r="F33" s="22"/>
      <c r="G33" s="22"/>
    </row>
    <row r="34" spans="2:7" x14ac:dyDescent="0.3">
      <c r="B34" s="17" t="s">
        <v>15</v>
      </c>
      <c r="C34" s="20">
        <f>ABS($C$7-C30)/ABS($C$7)*100</f>
        <v>7.9855611657297966E-8</v>
      </c>
      <c r="D34" s="20"/>
      <c r="E34" s="17" t="s">
        <v>16</v>
      </c>
      <c r="F34" s="21">
        <f>ABS($F$7-J29)/ABS($F$7)*100</f>
        <v>4.6731037391383887E-8</v>
      </c>
      <c r="G34" s="21"/>
    </row>
    <row r="35" spans="2:7" x14ac:dyDescent="0.3">
      <c r="B35" s="17"/>
      <c r="C35" s="20"/>
      <c r="D35" s="20"/>
      <c r="E35" s="17"/>
      <c r="F35" s="21"/>
      <c r="G35" s="21"/>
    </row>
  </sheetData>
  <mergeCells count="17">
    <mergeCell ref="B11:G12"/>
    <mergeCell ref="B6:G6"/>
    <mergeCell ref="B7:B8"/>
    <mergeCell ref="C7:D8"/>
    <mergeCell ref="E7:E8"/>
    <mergeCell ref="F7:G8"/>
    <mergeCell ref="B10:G10"/>
    <mergeCell ref="I17:K20"/>
    <mergeCell ref="B18:G19"/>
    <mergeCell ref="B21:G21"/>
    <mergeCell ref="B22:G23"/>
    <mergeCell ref="B33:G33"/>
    <mergeCell ref="B34:B35"/>
    <mergeCell ref="C34:D35"/>
    <mergeCell ref="E34:E35"/>
    <mergeCell ref="F34:G35"/>
    <mergeCell ref="B17:G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5199-6F34-47A3-989D-5ABBEC831617}">
  <dimension ref="A6:L38"/>
  <sheetViews>
    <sheetView topLeftCell="A13" zoomScale="96" zoomScaleNormal="96" workbookViewId="0">
      <selection activeCell="D46" sqref="D46:E46"/>
    </sheetView>
  </sheetViews>
  <sheetFormatPr baseColWidth="10" defaultRowHeight="14.4" x14ac:dyDescent="0.3"/>
  <cols>
    <col min="2" max="2" width="11.5546875" customWidth="1"/>
    <col min="3" max="3" width="12.77734375" bestFit="1" customWidth="1"/>
    <col min="4" max="4" width="13.109375" bestFit="1" customWidth="1"/>
    <col min="5" max="6" width="11.77734375" bestFit="1" customWidth="1"/>
    <col min="8" max="8" width="11.6640625" bestFit="1" customWidth="1"/>
    <col min="9" max="9" width="11.88671875" bestFit="1" customWidth="1"/>
    <col min="10" max="10" width="13.109375" bestFit="1" customWidth="1"/>
    <col min="11" max="13" width="11.77734375" bestFit="1" customWidth="1"/>
  </cols>
  <sheetData>
    <row r="6" spans="2:12" x14ac:dyDescent="0.3">
      <c r="B6" s="14" t="s">
        <v>0</v>
      </c>
      <c r="C6" s="14"/>
      <c r="D6" s="14"/>
      <c r="E6" s="14"/>
      <c r="F6" s="14"/>
      <c r="G6" s="14"/>
    </row>
    <row r="7" spans="2:12" x14ac:dyDescent="0.3">
      <c r="B7" s="17" t="s">
        <v>1</v>
      </c>
      <c r="C7" s="17">
        <v>3.2082198019999999</v>
      </c>
      <c r="D7" s="17"/>
      <c r="E7" s="17" t="s">
        <v>2</v>
      </c>
      <c r="F7" s="17">
        <v>7.4898387299999998</v>
      </c>
      <c r="G7" s="17"/>
    </row>
    <row r="8" spans="2:12" x14ac:dyDescent="0.3">
      <c r="B8" s="17"/>
      <c r="C8" s="17"/>
      <c r="D8" s="17"/>
      <c r="E8" s="17"/>
      <c r="F8" s="17"/>
      <c r="G8" s="17"/>
    </row>
    <row r="10" spans="2:12" x14ac:dyDescent="0.3">
      <c r="B10" s="14" t="s">
        <v>3</v>
      </c>
      <c r="C10" s="14"/>
      <c r="D10" s="14"/>
      <c r="E10" s="14"/>
      <c r="F10" s="14"/>
      <c r="G10" s="14"/>
    </row>
    <row r="11" spans="2:12" x14ac:dyDescent="0.3">
      <c r="B11" s="15"/>
      <c r="C11" s="15"/>
      <c r="D11" s="15"/>
      <c r="E11" s="15"/>
      <c r="F11" s="15"/>
      <c r="G11" s="15"/>
    </row>
    <row r="12" spans="2:12" x14ac:dyDescent="0.3">
      <c r="B12" s="15"/>
      <c r="C12" s="15"/>
      <c r="D12" s="15"/>
      <c r="E12" s="15"/>
      <c r="F12" s="15"/>
      <c r="G12" s="15"/>
    </row>
    <row r="15" spans="2:12" ht="23.4" x14ac:dyDescent="0.45">
      <c r="B15" s="25" t="s">
        <v>20</v>
      </c>
      <c r="C15" s="25"/>
    </row>
    <row r="16" spans="2:12" x14ac:dyDescent="0.3">
      <c r="I16" s="15"/>
      <c r="J16" s="15"/>
      <c r="K16" s="15"/>
      <c r="L16" s="15"/>
    </row>
    <row r="17" spans="1:12" x14ac:dyDescent="0.3">
      <c r="B17" s="24" t="s">
        <v>5</v>
      </c>
      <c r="C17" s="24"/>
      <c r="D17" s="24"/>
      <c r="E17" s="24"/>
      <c r="F17" s="24"/>
      <c r="G17" s="24"/>
      <c r="I17" s="15"/>
      <c r="J17" s="15"/>
      <c r="K17" s="15"/>
      <c r="L17" s="15"/>
    </row>
    <row r="18" spans="1:12" x14ac:dyDescent="0.3">
      <c r="B18" s="15"/>
      <c r="C18" s="15"/>
      <c r="D18" s="15"/>
      <c r="E18" s="15"/>
      <c r="F18" s="15"/>
      <c r="G18" s="15"/>
      <c r="I18" s="15"/>
      <c r="J18" s="15"/>
      <c r="K18" s="15"/>
      <c r="L18" s="15"/>
    </row>
    <row r="19" spans="1:12" x14ac:dyDescent="0.3">
      <c r="A19" s="1"/>
      <c r="B19" s="15"/>
      <c r="C19" s="15"/>
      <c r="D19" s="15"/>
      <c r="E19" s="15"/>
      <c r="F19" s="15"/>
      <c r="G19" s="15"/>
      <c r="I19" s="15"/>
      <c r="J19" s="15"/>
      <c r="K19" s="15"/>
      <c r="L19" s="15"/>
    </row>
    <row r="20" spans="1:12" x14ac:dyDescent="0.3">
      <c r="A20" s="1"/>
      <c r="B20" s="1"/>
      <c r="C20" s="1"/>
      <c r="D20" s="1"/>
      <c r="E20" s="1"/>
      <c r="F20" s="1"/>
    </row>
    <row r="22" spans="1:12" x14ac:dyDescent="0.3">
      <c r="B22" s="10" t="s">
        <v>6</v>
      </c>
      <c r="C22" s="10" t="s">
        <v>21</v>
      </c>
      <c r="D22" s="10" t="s">
        <v>22</v>
      </c>
      <c r="E22" s="10" t="s">
        <v>12</v>
      </c>
      <c r="H22" s="10" t="s">
        <v>6</v>
      </c>
      <c r="I22" s="10" t="s">
        <v>21</v>
      </c>
      <c r="J22" s="10" t="s">
        <v>22</v>
      </c>
      <c r="K22" s="10" t="s">
        <v>12</v>
      </c>
    </row>
    <row r="23" spans="1:12" x14ac:dyDescent="0.3">
      <c r="B23">
        <v>0</v>
      </c>
      <c r="C23">
        <v>3</v>
      </c>
      <c r="D23">
        <f>C23^3-EXP(0.8*C23)-20</f>
        <v>-4.0231763806416048</v>
      </c>
      <c r="E23">
        <v>1E-4</v>
      </c>
      <c r="H23">
        <v>0</v>
      </c>
      <c r="I23">
        <v>7</v>
      </c>
      <c r="J23">
        <f>I23^3-EXP(0.8*I23)-20</f>
        <v>52.573592573847236</v>
      </c>
      <c r="K23">
        <v>1E-4</v>
      </c>
    </row>
    <row r="24" spans="1:12" x14ac:dyDescent="0.3">
      <c r="B24">
        <v>1</v>
      </c>
      <c r="C24">
        <v>4</v>
      </c>
      <c r="D24">
        <f>C24^3-EXP(0.8*C24)-20</f>
        <v>19.467469802890648</v>
      </c>
      <c r="H24">
        <v>1</v>
      </c>
      <c r="I24">
        <v>8</v>
      </c>
      <c r="J24">
        <f>I24^3-EXP(0.8*I24)-20</f>
        <v>-109.84503787208223</v>
      </c>
    </row>
    <row r="25" spans="1:12" x14ac:dyDescent="0.3">
      <c r="B25">
        <v>2</v>
      </c>
      <c r="C25">
        <f>C24-((D24*(C24-C23))/(D24-D23))</f>
        <v>3.1712671652030582</v>
      </c>
      <c r="D25">
        <f>C25^3-EXP(0.8*C25)-20</f>
        <v>-0.74863343680182481</v>
      </c>
      <c r="H25">
        <v>2</v>
      </c>
      <c r="I25">
        <f>I24-((J24*(I24-I23))/(J24-J23))</f>
        <v>7.3236918845424537</v>
      </c>
      <c r="J25">
        <f>I25^3-EXP(0.8*I25)-20</f>
        <v>22.459621607538395</v>
      </c>
    </row>
    <row r="26" spans="1:12" x14ac:dyDescent="0.3">
      <c r="B26">
        <v>3</v>
      </c>
      <c r="C26">
        <f t="shared" ref="C26:C28" si="0">C25-((D25*(C25-C24))/(D25-D24))</f>
        <v>3.2019564183666658</v>
      </c>
      <c r="D26">
        <f t="shared" ref="D26:D28" si="1">C26^3-EXP(0.8*C26)-20</f>
        <v>-0.12794153995860569</v>
      </c>
      <c r="H26">
        <v>3</v>
      </c>
      <c r="I26">
        <f t="shared" ref="I26:I30" si="2">I25-((J25*(I25-I24))/(J25-J24))</f>
        <v>7.4384998166517802</v>
      </c>
      <c r="J26">
        <f t="shared" ref="J26:J30" si="3">I26^3-EXP(0.8*I26)-20</f>
        <v>7.5213043492045699</v>
      </c>
    </row>
    <row r="27" spans="1:12" x14ac:dyDescent="0.3">
      <c r="B27">
        <v>4</v>
      </c>
      <c r="C27">
        <f t="shared" si="0"/>
        <v>3.2082823110195275</v>
      </c>
      <c r="D27">
        <f t="shared" si="1"/>
        <v>1.2790238789150976E-3</v>
      </c>
      <c r="H27">
        <v>4</v>
      </c>
      <c r="I27">
        <f t="shared" si="2"/>
        <v>7.4963045468743443</v>
      </c>
      <c r="J27">
        <f t="shared" si="3"/>
        <v>-0.98617349676993626</v>
      </c>
    </row>
    <row r="28" spans="1:12" x14ac:dyDescent="0.3">
      <c r="B28">
        <v>5</v>
      </c>
      <c r="C28" s="7">
        <f t="shared" si="0"/>
        <v>3.208219697395827</v>
      </c>
      <c r="D28">
        <f t="shared" si="1"/>
        <v>-2.1406681440794273E-6</v>
      </c>
      <c r="H28">
        <v>5</v>
      </c>
      <c r="I28">
        <f t="shared" si="2"/>
        <v>7.4896039131535757</v>
      </c>
      <c r="J28">
        <f t="shared" si="3"/>
        <v>3.5648067670081218E-2</v>
      </c>
    </row>
    <row r="29" spans="1:12" x14ac:dyDescent="0.3">
      <c r="H29">
        <v>6</v>
      </c>
      <c r="I29">
        <f t="shared" si="2"/>
        <v>7.4898376767113461</v>
      </c>
      <c r="J29">
        <f t="shared" si="3"/>
        <v>1.5992364939165782E-4</v>
      </c>
    </row>
    <row r="30" spans="1:12" x14ac:dyDescent="0.3">
      <c r="H30">
        <v>7</v>
      </c>
      <c r="I30" s="7">
        <f t="shared" si="2"/>
        <v>7.4898387301426341</v>
      </c>
      <c r="J30">
        <f t="shared" si="3"/>
        <v>-2.6115685614058748E-8</v>
      </c>
    </row>
    <row r="33" spans="2:7" x14ac:dyDescent="0.3">
      <c r="B33" s="24" t="s">
        <v>14</v>
      </c>
      <c r="C33" s="24"/>
      <c r="D33" s="24"/>
      <c r="E33" s="24"/>
      <c r="F33" s="24"/>
      <c r="G33" s="24"/>
    </row>
    <row r="34" spans="2:7" x14ac:dyDescent="0.3">
      <c r="B34" s="17" t="s">
        <v>15</v>
      </c>
      <c r="C34" s="20">
        <f>ABS($C$7-C28)/ABS($C$7)*100</f>
        <v>3.260505181532558E-6</v>
      </c>
      <c r="D34" s="20"/>
      <c r="E34" s="17" t="s">
        <v>16</v>
      </c>
      <c r="F34" s="21">
        <f>ABS($F$7-I30)/ABS($F$7)*100</f>
        <v>1.9043714279877761E-9</v>
      </c>
      <c r="G34" s="21"/>
    </row>
    <row r="35" spans="2:7" x14ac:dyDescent="0.3">
      <c r="B35" s="17"/>
      <c r="C35" s="20"/>
      <c r="D35" s="20"/>
      <c r="E35" s="17"/>
      <c r="F35" s="21"/>
      <c r="G35" s="21"/>
    </row>
    <row r="38" spans="2:7" ht="23.4" x14ac:dyDescent="0.45">
      <c r="B38" s="4"/>
    </row>
  </sheetData>
  <mergeCells count="16">
    <mergeCell ref="B10:G10"/>
    <mergeCell ref="B6:G6"/>
    <mergeCell ref="B7:B8"/>
    <mergeCell ref="C7:D8"/>
    <mergeCell ref="E7:E8"/>
    <mergeCell ref="F7:G8"/>
    <mergeCell ref="B15:C15"/>
    <mergeCell ref="I16:L19"/>
    <mergeCell ref="B17:G17"/>
    <mergeCell ref="B18:G19"/>
    <mergeCell ref="B11:G12"/>
    <mergeCell ref="B33:G33"/>
    <mergeCell ref="B34:B35"/>
    <mergeCell ref="C34:D35"/>
    <mergeCell ref="E34:E35"/>
    <mergeCell ref="F34:G3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6DEE-50FD-4CB9-97D5-BD81BBC974F2}">
  <dimension ref="B6:O80"/>
  <sheetViews>
    <sheetView tabSelected="1" topLeftCell="A46" zoomScale="96" zoomScaleNormal="96" workbookViewId="0">
      <selection activeCell="K81" sqref="K81"/>
    </sheetView>
  </sheetViews>
  <sheetFormatPr baseColWidth="10" defaultRowHeight="14.4" x14ac:dyDescent="0.3"/>
  <cols>
    <col min="2" max="2" width="11.5546875" customWidth="1"/>
    <col min="3" max="3" width="12.77734375" bestFit="1" customWidth="1"/>
    <col min="4" max="4" width="13.109375" bestFit="1" customWidth="1"/>
    <col min="5" max="6" width="11.77734375" bestFit="1" customWidth="1"/>
    <col min="8" max="8" width="11.6640625" bestFit="1" customWidth="1"/>
    <col min="9" max="9" width="11.88671875" bestFit="1" customWidth="1"/>
    <col min="10" max="10" width="13.109375" bestFit="1" customWidth="1"/>
    <col min="11" max="13" width="11.77734375" bestFit="1" customWidth="1"/>
  </cols>
  <sheetData>
    <row r="6" spans="2:7" x14ac:dyDescent="0.3">
      <c r="B6" s="14" t="s">
        <v>0</v>
      </c>
      <c r="C6" s="14"/>
      <c r="D6" s="14"/>
      <c r="E6" s="14"/>
      <c r="F6" s="14"/>
      <c r="G6" s="14"/>
    </row>
    <row r="7" spans="2:7" x14ac:dyDescent="0.3">
      <c r="B7" s="17" t="s">
        <v>1</v>
      </c>
      <c r="C7" s="17">
        <v>3.2082198019999999</v>
      </c>
      <c r="D7" s="17"/>
      <c r="E7" s="17" t="s">
        <v>2</v>
      </c>
      <c r="F7" s="17">
        <v>7.4898387299999998</v>
      </c>
      <c r="G7" s="17"/>
    </row>
    <row r="8" spans="2:7" x14ac:dyDescent="0.3">
      <c r="B8" s="17"/>
      <c r="C8" s="17"/>
      <c r="D8" s="17"/>
      <c r="E8" s="17"/>
      <c r="F8" s="17"/>
      <c r="G8" s="17"/>
    </row>
    <row r="10" spans="2:7" x14ac:dyDescent="0.3">
      <c r="B10" s="14" t="s">
        <v>3</v>
      </c>
      <c r="C10" s="14"/>
      <c r="D10" s="14"/>
      <c r="E10" s="14"/>
      <c r="F10" s="14"/>
      <c r="G10" s="14"/>
    </row>
    <row r="11" spans="2:7" x14ac:dyDescent="0.3">
      <c r="B11" s="15"/>
      <c r="C11" s="15"/>
      <c r="D11" s="15"/>
      <c r="E11" s="15"/>
      <c r="F11" s="15"/>
      <c r="G11" s="15"/>
    </row>
    <row r="12" spans="2:7" x14ac:dyDescent="0.3">
      <c r="B12" s="15"/>
      <c r="C12" s="15"/>
      <c r="D12" s="15"/>
      <c r="E12" s="15"/>
      <c r="F12" s="15"/>
      <c r="G12" s="15"/>
    </row>
    <row r="14" spans="2:7" ht="23.4" x14ac:dyDescent="0.45">
      <c r="B14" s="4" t="s">
        <v>24</v>
      </c>
    </row>
    <row r="36" spans="2:2" ht="23.4" x14ac:dyDescent="0.45">
      <c r="B36" s="4" t="s">
        <v>25</v>
      </c>
    </row>
    <row r="55" spans="2:15" x14ac:dyDescent="0.3">
      <c r="C55" s="26" t="s">
        <v>26</v>
      </c>
      <c r="D55" s="26"/>
      <c r="E55" s="26"/>
      <c r="H55" s="27" t="s">
        <v>27</v>
      </c>
      <c r="I55" s="27"/>
      <c r="J55" s="27"/>
      <c r="M55" s="26" t="s">
        <v>28</v>
      </c>
      <c r="N55" s="26"/>
      <c r="O55" s="26"/>
    </row>
    <row r="56" spans="2:15" x14ac:dyDescent="0.3">
      <c r="C56" s="26"/>
      <c r="D56" s="26"/>
      <c r="E56" s="26"/>
      <c r="H56" s="27"/>
      <c r="I56" s="27"/>
      <c r="J56" s="27"/>
      <c r="M56" s="26"/>
      <c r="N56" s="26"/>
      <c r="O56" s="26"/>
    </row>
    <row r="59" spans="2:15" ht="23.4" x14ac:dyDescent="0.45">
      <c r="B59" s="4" t="s">
        <v>29</v>
      </c>
    </row>
    <row r="78" spans="3:15" ht="14.4" customHeight="1" x14ac:dyDescent="0.3">
      <c r="C78" s="26" t="s">
        <v>30</v>
      </c>
      <c r="D78" s="26"/>
      <c r="E78" s="26"/>
      <c r="H78" s="27" t="s">
        <v>31</v>
      </c>
      <c r="I78" s="27"/>
      <c r="J78" s="27"/>
      <c r="M78" s="26" t="s">
        <v>32</v>
      </c>
      <c r="N78" s="26"/>
      <c r="O78" s="26"/>
    </row>
    <row r="79" spans="3:15" x14ac:dyDescent="0.3">
      <c r="C79" s="26"/>
      <c r="D79" s="26"/>
      <c r="E79" s="26"/>
      <c r="H79" s="27"/>
      <c r="I79" s="27"/>
      <c r="J79" s="27"/>
      <c r="M79" s="26"/>
      <c r="N79" s="26"/>
      <c r="O79" s="26"/>
    </row>
    <row r="80" spans="3:15" x14ac:dyDescent="0.3">
      <c r="M80" s="26"/>
      <c r="N80" s="26"/>
      <c r="O80" s="26"/>
    </row>
  </sheetData>
  <mergeCells count="13">
    <mergeCell ref="B11:G12"/>
    <mergeCell ref="B6:G6"/>
    <mergeCell ref="B7:B8"/>
    <mergeCell ref="C7:D8"/>
    <mergeCell ref="E7:E8"/>
    <mergeCell ref="F7:G8"/>
    <mergeCell ref="B10:G10"/>
    <mergeCell ref="C78:E79"/>
    <mergeCell ref="H78:J79"/>
    <mergeCell ref="M55:O56"/>
    <mergeCell ref="C55:E56"/>
    <mergeCell ref="H55:J56"/>
    <mergeCell ref="M78:O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EJ1_BISECCION</vt:lpstr>
      <vt:lpstr>EJ1_NEWTON</vt:lpstr>
      <vt:lpstr>EJ1_SECANTE</vt:lpstr>
      <vt:lpstr>EJ1_GRAFICOS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MICHELLE</cp:lastModifiedBy>
  <dcterms:created xsi:type="dcterms:W3CDTF">2025-11-20T01:41:21Z</dcterms:created>
  <dcterms:modified xsi:type="dcterms:W3CDTF">2025-11-21T20:16:32Z</dcterms:modified>
</cp:coreProperties>
</file>