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aices\ejercicio4\"/>
    </mc:Choice>
  </mc:AlternateContent>
  <xr:revisionPtr revIDLastSave="0" documentId="13_ncr:1_{AFD46AE6-E801-4B46-8DC9-C861972BBC59}" xr6:coauthVersionLast="47" xr6:coauthVersionMax="47" xr10:uidLastSave="{00000000-0000-0000-0000-000000000000}"/>
  <bookViews>
    <workbookView xWindow="-108" yWindow="-108" windowWidth="23256" windowHeight="12456" xr2:uid="{9B82493B-48CC-4ECE-B3A9-CD54E9735952}"/>
  </bookViews>
  <sheets>
    <sheet name="EJ4_BISECCION" sheetId="1" r:id="rId1"/>
    <sheet name="EJ4_NEWTON" sheetId="3" r:id="rId2"/>
    <sheet name="EJ4_SECANTE" sheetId="5" r:id="rId3"/>
    <sheet name="EJ4_GRAFICO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5" l="1"/>
  <c r="D23" i="5"/>
  <c r="D24" i="5"/>
  <c r="D35" i="3"/>
  <c r="C30" i="3"/>
  <c r="D30" i="3" s="1"/>
  <c r="D28" i="3"/>
  <c r="E28" i="3"/>
  <c r="E27" i="3"/>
  <c r="D27" i="3"/>
  <c r="D40" i="1"/>
  <c r="G22" i="1"/>
  <c r="F22" i="1"/>
  <c r="E30" i="3" l="1"/>
  <c r="C28" i="3"/>
  <c r="C25" i="5"/>
  <c r="D25" i="5" s="1"/>
  <c r="E22" i="1" l="1"/>
  <c r="H22" i="1" s="1"/>
  <c r="D23" i="1" l="1"/>
  <c r="G23" i="1" s="1"/>
  <c r="C29" i="3"/>
  <c r="E29" i="3" l="1"/>
  <c r="D29" i="3"/>
  <c r="C23" i="1"/>
  <c r="F23" i="1" s="1"/>
  <c r="C26" i="5"/>
  <c r="D26" i="5" s="1"/>
  <c r="E23" i="1" l="1"/>
  <c r="C27" i="5"/>
  <c r="D27" i="5" s="1"/>
  <c r="H23" i="1" l="1"/>
  <c r="C24" i="1" s="1"/>
  <c r="F24" i="1" s="1"/>
  <c r="C28" i="5"/>
  <c r="D28" i="5" s="1"/>
  <c r="D24" i="1" l="1"/>
  <c r="G24" i="1" s="1"/>
  <c r="E24" i="1" l="1"/>
  <c r="H24" i="1" s="1"/>
  <c r="D25" i="1" s="1"/>
  <c r="G25" i="1" s="1"/>
  <c r="C25" i="1" l="1"/>
  <c r="F25" i="1" s="1"/>
  <c r="E25" i="1" l="1"/>
  <c r="H25" i="1" s="1"/>
  <c r="C26" i="1" s="1"/>
  <c r="F26" i="1" s="1"/>
  <c r="D26" i="1" l="1"/>
  <c r="G26" i="1" s="1"/>
  <c r="E26" i="1" l="1"/>
  <c r="H26" i="1" l="1"/>
  <c r="D27" i="1" s="1"/>
  <c r="G27" i="1" s="1"/>
  <c r="C27" i="1" l="1"/>
  <c r="F27" i="1" s="1"/>
  <c r="E27" i="1" l="1"/>
  <c r="H27" i="1" s="1"/>
  <c r="C28" i="1"/>
  <c r="F28" i="1" s="1"/>
  <c r="D28" i="1" l="1"/>
  <c r="G28" i="1" s="1"/>
  <c r="E28" i="1" l="1"/>
  <c r="H28" i="1" s="1"/>
  <c r="D29" i="1" l="1"/>
  <c r="G29" i="1" s="1"/>
  <c r="C29" i="1" l="1"/>
  <c r="F29" i="1" s="1"/>
  <c r="E29" i="1" l="1"/>
  <c r="H29" i="1" l="1"/>
  <c r="D30" i="1" s="1"/>
  <c r="G30" i="1" s="1"/>
  <c r="C30" i="1" l="1"/>
  <c r="F30" i="1" s="1"/>
  <c r="E30" i="1" l="1"/>
  <c r="H30" i="1" s="1"/>
  <c r="C31" i="1" l="1"/>
  <c r="F31" i="1" s="1"/>
  <c r="D31" i="1"/>
  <c r="G31" i="1" s="1"/>
  <c r="E31" i="1" l="1"/>
  <c r="H31" i="1"/>
  <c r="D32" i="1" s="1"/>
  <c r="G32" i="1" s="1"/>
  <c r="C32" i="1" l="1"/>
  <c r="E32" i="1"/>
  <c r="H32" i="1" s="1"/>
  <c r="F32" i="1"/>
  <c r="C33" i="1" s="1"/>
  <c r="F33" i="1" s="1"/>
  <c r="D33" i="1" l="1"/>
  <c r="G33" i="1" s="1"/>
  <c r="E33" i="1" l="1"/>
  <c r="H33" i="1" l="1"/>
  <c r="D34" i="1" s="1"/>
  <c r="G34" i="1" s="1"/>
  <c r="C34" i="1" l="1"/>
  <c r="F34" i="1" s="1"/>
  <c r="E34" i="1" l="1"/>
  <c r="H34" i="1"/>
  <c r="D35" i="1" s="1"/>
  <c r="G35" i="1" s="1"/>
  <c r="C35" i="1"/>
  <c r="F35" i="1" s="1"/>
  <c r="E35" i="1" l="1"/>
  <c r="H35" i="1" s="1"/>
  <c r="C36" i="1" l="1"/>
  <c r="F36" i="1" s="1"/>
  <c r="D36" i="1"/>
  <c r="G36" i="1" s="1"/>
  <c r="E36" i="1" l="1"/>
  <c r="H36" i="1" l="1"/>
</calcChain>
</file>

<file path=xl/sharedStrings.xml><?xml version="1.0" encoding="utf-8"?>
<sst xmlns="http://schemas.openxmlformats.org/spreadsheetml/2006/main" count="47" uniqueCount="27">
  <si>
    <t>SOLUCION EXACTA:</t>
  </si>
  <si>
    <t>FUNCION:</t>
  </si>
  <si>
    <t>BISECCION</t>
  </si>
  <si>
    <t>INTERVALO INICIAL:</t>
  </si>
  <si>
    <t>#</t>
  </si>
  <si>
    <t>a</t>
  </si>
  <si>
    <t>b</t>
  </si>
  <si>
    <t>f(a)</t>
  </si>
  <si>
    <t>f(b)</t>
  </si>
  <si>
    <t>f(m)</t>
  </si>
  <si>
    <t>tol</t>
  </si>
  <si>
    <t>m</t>
  </si>
  <si>
    <t>Newton-Raphson</t>
  </si>
  <si>
    <t>VALOR INICIAL:</t>
  </si>
  <si>
    <t>DERIVADA:</t>
  </si>
  <si>
    <t>Secante</t>
  </si>
  <si>
    <t>f(x)</t>
  </si>
  <si>
    <t>f'(x)</t>
  </si>
  <si>
    <t>GRAFICO DE LA FUNCION</t>
  </si>
  <si>
    <t>x1</t>
  </si>
  <si>
    <t>x=</t>
  </si>
  <si>
    <t>ERROR RELATIVO % PARA x</t>
  </si>
  <si>
    <t>error_x=</t>
  </si>
  <si>
    <t>COMPARACION ENTRE METODOS - APROXIMACION x</t>
  </si>
  <si>
    <t>En biseccion se necesito de 14 iteraciones y el error fue aprox  0,03%</t>
  </si>
  <si>
    <t>En newton se necesito de 3 iteraciones y el error fue aprox  0,000005%</t>
  </si>
  <si>
    <t>En secante se necesito de 5 iteraciones y el error fue aprox  0,0002%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</si>
</sst>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0E+00"/>
    <numFmt numFmtId="165" formatCode="0.00000000%"/>
    <numFmt numFmtId="166" formatCode="0.00000%"/>
    <numFmt numFmtId="173" formatCode="0.0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3E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5" borderId="0" xfId="0" applyFont="1" applyFill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1" applyNumberFormat="1" applyFont="1" applyFill="1" applyAlignment="1">
      <alignment vertical="center"/>
    </xf>
    <xf numFmtId="0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166" fontId="0" fillId="0" borderId="0" xfId="1" applyNumberFormat="1" applyFont="1" applyFill="1" applyAlignment="1">
      <alignment vertical="center"/>
    </xf>
    <xf numFmtId="173" fontId="0" fillId="0" borderId="0" xfId="1" applyNumberFormat="1" applyFont="1" applyAlignment="1">
      <alignment horizontal="center" vertical="center"/>
    </xf>
    <xf numFmtId="0" fontId="3" fillId="0" borderId="0" xfId="0" applyFont="1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B3E5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319424</xdr:colOff>
      <xdr:row>15</xdr:row>
      <xdr:rowOff>56335</xdr:rowOff>
    </xdr:from>
    <xdr:to>
      <xdr:col>9</xdr:col>
      <xdr:colOff>307589</xdr:colOff>
      <xdr:row>17</xdr:row>
      <xdr:rowOff>148699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1D0AC65-46B6-569F-54F7-EC1765E1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9381" y="2966526"/>
          <a:ext cx="945994" cy="465258"/>
        </a:xfrm>
        <a:prstGeom prst="rect">
          <a:avLst/>
        </a:prstGeom>
      </xdr:spPr>
    </xdr:pic>
    <xdr:clientData/>
  </xdr:twoCellAnchor>
  <xdr:twoCellAnchor editAs="oneCell">
    <xdr:from>
      <xdr:col>1</xdr:col>
      <xdr:colOff>3105</xdr:colOff>
      <xdr:row>1</xdr:row>
      <xdr:rowOff>84667</xdr:rowOff>
    </xdr:from>
    <xdr:to>
      <xdr:col>7</xdr:col>
      <xdr:colOff>404212</xdr:colOff>
      <xdr:row>3</xdr:row>
      <xdr:rowOff>35277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2D751C-5F5C-41A1-956D-14D4E6D27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80117" r="3925" b="6423"/>
        <a:stretch>
          <a:fillRect/>
        </a:stretch>
      </xdr:blipFill>
      <xdr:spPr bwMode="auto">
        <a:xfrm>
          <a:off x="793327" y="268111"/>
          <a:ext cx="5445829" cy="3174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377280</xdr:colOff>
      <xdr:row>16</xdr:row>
      <xdr:rowOff>54007</xdr:rowOff>
    </xdr:from>
    <xdr:ext cx="1044068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E1A21E1-41A2-8D83-F282-A2B841CEF3FB}"/>
                </a:ext>
              </a:extLst>
            </xdr:cNvPr>
            <xdr:cNvSpPr txBox="1"/>
          </xdr:nvSpPr>
          <xdr:spPr>
            <a:xfrm>
              <a:off x="2839669" y="3102007"/>
              <a:ext cx="104406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4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4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]=[3, 4]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E1A21E1-41A2-8D83-F282-A2B841CEF3FB}"/>
                </a:ext>
              </a:extLst>
            </xdr:cNvPr>
            <xdr:cNvSpPr txBox="1"/>
          </xdr:nvSpPr>
          <xdr:spPr>
            <a:xfrm>
              <a:off x="2839669" y="3102007"/>
              <a:ext cx="104406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[a,b]=[3, 4]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2</xdr:col>
      <xdr:colOff>611716</xdr:colOff>
      <xdr:row>10</xdr:row>
      <xdr:rowOff>61384</xdr:rowOff>
    </xdr:from>
    <xdr:ext cx="2329484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A7B087A-D202-1E4A-CC8D-303D12017CB2}"/>
                </a:ext>
              </a:extLst>
            </xdr:cNvPr>
            <xdr:cNvSpPr txBox="1"/>
          </xdr:nvSpPr>
          <xdr:spPr>
            <a:xfrm>
              <a:off x="2192160" y="1895828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ES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s-ES" sz="1400" i="1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−0.5</m:t>
                    </m:r>
                    <m:r>
                      <a:rPr lang="es-ES" sz="1400" i="1">
                        <a:latin typeface="Cambria Math" panose="02040503050406030204" pitchFamily="18" charset="0"/>
                      </a:rPr>
                      <m:t>𝑥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A7B087A-D202-1E4A-CC8D-303D12017CB2}"/>
                </a:ext>
              </a:extLst>
            </xdr:cNvPr>
            <xdr:cNvSpPr txBox="1"/>
          </xdr:nvSpPr>
          <xdr:spPr>
            <a:xfrm>
              <a:off x="2192160" y="1895828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i="0">
                  <a:latin typeface="Cambria Math" panose="02040503050406030204" pitchFamily="18" charset="0"/>
                </a:rPr>
                <a:t>𝑓(𝑥)=cos^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⁡</a:t>
              </a:r>
              <a:r>
                <a:rPr lang="es-ES" sz="1400" i="0">
                  <a:latin typeface="Cambria Math" panose="02040503050406030204" pitchFamily="18" charset="0"/>
                </a:rPr>
                <a:t>𝑥−0.5𝑥ⅇ^</a:t>
              </a:r>
              <a:r>
                <a:rPr lang="en-US" sz="1400" b="0" i="0">
                  <a:latin typeface="Cambria Math" panose="02040503050406030204" pitchFamily="18" charset="0"/>
                </a:rPr>
                <a:t>0.3</a:t>
              </a:r>
              <a:r>
                <a:rPr lang="es-ES" sz="1400" i="0">
                  <a:latin typeface="Cambria Math" panose="02040503050406030204" pitchFamily="18" charset="0"/>
                </a:rPr>
                <a:t>𝑥+5</a:t>
              </a:r>
              <a:endParaRPr lang="es-ES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255739</xdr:colOff>
      <xdr:row>16</xdr:row>
      <xdr:rowOff>62146</xdr:rowOff>
    </xdr:from>
    <xdr:to>
      <xdr:col>10</xdr:col>
      <xdr:colOff>421408</xdr:colOff>
      <xdr:row>19</xdr:row>
      <xdr:rowOff>125456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95A335-0A38-49F6-AF3F-B4DE5D7C1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4179" y="9068986"/>
          <a:ext cx="1880169" cy="611950"/>
        </a:xfrm>
        <a:prstGeom prst="rect">
          <a:avLst/>
        </a:prstGeom>
      </xdr:spPr>
    </xdr:pic>
    <xdr:clientData/>
  </xdr:twoCellAnchor>
  <xdr:oneCellAnchor>
    <xdr:from>
      <xdr:col>3</xdr:col>
      <xdr:colOff>454027</xdr:colOff>
      <xdr:row>17</xdr:row>
      <xdr:rowOff>80963</xdr:rowOff>
    </xdr:from>
    <xdr:ext cx="687176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A6CF656-F79A-43BF-9408-DF4838102021}"/>
                </a:ext>
              </a:extLst>
            </xdr:cNvPr>
            <xdr:cNvSpPr txBox="1"/>
          </xdr:nvSpPr>
          <xdr:spPr>
            <a:xfrm>
              <a:off x="2919825" y="3257390"/>
              <a:ext cx="6871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4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3,5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A6CF656-F79A-43BF-9408-DF4838102021}"/>
                </a:ext>
              </a:extLst>
            </xdr:cNvPr>
            <xdr:cNvSpPr txBox="1"/>
          </xdr:nvSpPr>
          <xdr:spPr>
            <a:xfrm>
              <a:off x="2919825" y="3257390"/>
              <a:ext cx="68717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i="0">
                  <a:latin typeface="Cambria Math" panose="02040503050406030204" pitchFamily="18" charset="0"/>
                </a:rPr>
                <a:t>𝑥_0=</a:t>
              </a:r>
              <a:r>
                <a:rPr lang="en-US" sz="1400" b="0" i="0">
                  <a:latin typeface="Cambria Math" panose="02040503050406030204" pitchFamily="18" charset="0"/>
                </a:rPr>
                <a:t>3,5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2</xdr:col>
      <xdr:colOff>60968</xdr:colOff>
      <xdr:row>21</xdr:row>
      <xdr:rowOff>70643</xdr:rowOff>
    </xdr:from>
    <xdr:ext cx="3437031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49C7E9E-A91B-A310-C349-51E1121C0D21}"/>
                </a:ext>
              </a:extLst>
            </xdr:cNvPr>
            <xdr:cNvSpPr txBox="1"/>
          </xdr:nvSpPr>
          <xdr:spPr>
            <a:xfrm>
              <a:off x="1653462" y="3966261"/>
              <a:ext cx="3437031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ES" sz="1400" i="1">
                        <a:latin typeface="Cambria Math" panose="02040503050406030204" pitchFamily="18" charset="0"/>
                      </a:rPr>
                      <m:t>=−2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ES" sz="1400" i="1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⋅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ES" sz="1400" i="1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−0.5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1+0.3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49C7E9E-A91B-A310-C349-51E1121C0D21}"/>
                </a:ext>
              </a:extLst>
            </xdr:cNvPr>
            <xdr:cNvSpPr txBox="1"/>
          </xdr:nvSpPr>
          <xdr:spPr>
            <a:xfrm>
              <a:off x="1653462" y="3966261"/>
              <a:ext cx="3437031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i="0">
                  <a:latin typeface="Cambria Math" panose="02040503050406030204" pitchFamily="18" charset="0"/>
                </a:rPr>
                <a:t>𝑓^′ (𝑥)=−2 cos⁡𝑥⋅sin⁡𝑥−0.5ⅇ^0.3𝑥 (1+0.3𝑥)</a:t>
              </a:r>
              <a:endParaRPr lang="es-ES" sz="1400"/>
            </a:p>
          </xdr:txBody>
        </xdr:sp>
      </mc:Fallback>
    </mc:AlternateContent>
    <xdr:clientData/>
  </xdr:oneCellAnchor>
  <xdr:twoCellAnchor editAs="oneCell">
    <xdr:from>
      <xdr:col>1</xdr:col>
      <xdr:colOff>3105</xdr:colOff>
      <xdr:row>1</xdr:row>
      <xdr:rowOff>84667</xdr:rowOff>
    </xdr:from>
    <xdr:to>
      <xdr:col>7</xdr:col>
      <xdr:colOff>472792</xdr:colOff>
      <xdr:row>3</xdr:row>
      <xdr:rowOff>35277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E2A61-2C38-48EE-BC27-E5E9C9B8D1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80117" r="3925" b="6423"/>
        <a:stretch>
          <a:fillRect/>
        </a:stretch>
      </xdr:blipFill>
      <xdr:spPr bwMode="auto">
        <a:xfrm>
          <a:off x="795585" y="267547"/>
          <a:ext cx="5445547" cy="3163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611716</xdr:colOff>
      <xdr:row>10</xdr:row>
      <xdr:rowOff>61384</xdr:rowOff>
    </xdr:from>
    <xdr:ext cx="2329484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AE4D05-9418-44E4-BF32-BC50C0B84DDE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ES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s-ES" sz="1400" i="1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−0.5</m:t>
                    </m:r>
                    <m:r>
                      <a:rPr lang="es-ES" sz="1400" i="1">
                        <a:latin typeface="Cambria Math" panose="02040503050406030204" pitchFamily="18" charset="0"/>
                      </a:rPr>
                      <m:t>𝑥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AE4D05-9418-44E4-BF32-BC50C0B84DDE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i="0">
                  <a:latin typeface="Cambria Math" panose="02040503050406030204" pitchFamily="18" charset="0"/>
                </a:rPr>
                <a:t>𝑓(𝑥)=cos^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⁡</a:t>
              </a:r>
              <a:r>
                <a:rPr lang="es-ES" sz="1400" i="0">
                  <a:latin typeface="Cambria Math" panose="02040503050406030204" pitchFamily="18" charset="0"/>
                </a:rPr>
                <a:t>𝑥−0.5𝑥ⅇ^</a:t>
              </a:r>
              <a:r>
                <a:rPr lang="en-US" sz="1400" b="0" i="0">
                  <a:latin typeface="Cambria Math" panose="02040503050406030204" pitchFamily="18" charset="0"/>
                </a:rPr>
                <a:t>0.3</a:t>
              </a:r>
              <a:r>
                <a:rPr lang="es-ES" sz="1400" i="0">
                  <a:latin typeface="Cambria Math" panose="02040503050406030204" pitchFamily="18" charset="0"/>
                </a:rPr>
                <a:t>𝑥+5</a:t>
              </a:r>
              <a:endParaRPr lang="es-ES" sz="14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790990</xdr:colOff>
      <xdr:row>15</xdr:row>
      <xdr:rowOff>97275</xdr:rowOff>
    </xdr:from>
    <xdr:to>
      <xdr:col>11</xdr:col>
      <xdr:colOff>565944</xdr:colOff>
      <xdr:row>18</xdr:row>
      <xdr:rowOff>65813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7B393F-1E4D-45D9-8207-FF96D72F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330" y="13241775"/>
          <a:ext cx="3097274" cy="517177"/>
        </a:xfrm>
        <a:prstGeom prst="rect">
          <a:avLst/>
        </a:prstGeom>
      </xdr:spPr>
    </xdr:pic>
    <xdr:clientData/>
  </xdr:twoCellAnchor>
  <xdr:oneCellAnchor>
    <xdr:from>
      <xdr:col>3</xdr:col>
      <xdr:colOff>310958</xdr:colOff>
      <xdr:row>17</xdr:row>
      <xdr:rowOff>99291</xdr:rowOff>
    </xdr:from>
    <xdr:ext cx="869341" cy="1878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B87465F-48BB-4EB8-8508-A30E61F8357D}"/>
                </a:ext>
              </a:extLst>
            </xdr:cNvPr>
            <xdr:cNvSpPr txBox="1"/>
          </xdr:nvSpPr>
          <xdr:spPr>
            <a:xfrm>
              <a:off x="2771583" y="3313979"/>
              <a:ext cx="8693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[</m:t>
                    </m:r>
                    <m:r>
                      <m:rPr>
                        <m:sty m:val="p"/>
                      </m:rPr>
                      <a:rPr lang="en-US" sz="1200" b="0" i="1">
                        <a:latin typeface="Cambria Math" panose="02040503050406030204" pitchFamily="18" charset="0"/>
                      </a:rPr>
                      <m:t>a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,</m:t>
                    </m:r>
                    <m:r>
                      <m:rPr>
                        <m:sty m:val="p"/>
                      </m:rPr>
                      <a:rPr lang="en-US" sz="1200" b="0" i="1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]=[3,4]</m:t>
                    </m:r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B87465F-48BB-4EB8-8508-A30E61F8357D}"/>
                </a:ext>
              </a:extLst>
            </xdr:cNvPr>
            <xdr:cNvSpPr txBox="1"/>
          </xdr:nvSpPr>
          <xdr:spPr>
            <a:xfrm>
              <a:off x="2771583" y="3313979"/>
              <a:ext cx="86934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[a,b]=[3,4]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1</xdr:col>
      <xdr:colOff>3105</xdr:colOff>
      <xdr:row>1</xdr:row>
      <xdr:rowOff>84667</xdr:rowOff>
    </xdr:from>
    <xdr:to>
      <xdr:col>7</xdr:col>
      <xdr:colOff>472792</xdr:colOff>
      <xdr:row>3</xdr:row>
      <xdr:rowOff>35277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696704-59B0-43EB-BF8E-33F57146BC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80117" r="3925" b="6423"/>
        <a:stretch>
          <a:fillRect/>
        </a:stretch>
      </xdr:blipFill>
      <xdr:spPr bwMode="auto">
        <a:xfrm>
          <a:off x="795585" y="267547"/>
          <a:ext cx="5445547" cy="3163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611716</xdr:colOff>
      <xdr:row>10</xdr:row>
      <xdr:rowOff>61384</xdr:rowOff>
    </xdr:from>
    <xdr:ext cx="2329484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3FB6EB2-6B02-47D6-BA8D-3444A167D499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ES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s-ES" sz="1400" i="1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−0.5</m:t>
                    </m:r>
                    <m:r>
                      <a:rPr lang="es-ES" sz="1400" i="1">
                        <a:latin typeface="Cambria Math" panose="02040503050406030204" pitchFamily="18" charset="0"/>
                      </a:rPr>
                      <m:t>𝑥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3FB6EB2-6B02-47D6-BA8D-3444A167D499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i="0">
                  <a:latin typeface="Cambria Math" panose="02040503050406030204" pitchFamily="18" charset="0"/>
                </a:rPr>
                <a:t>𝑓(𝑥)=cos^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⁡</a:t>
              </a:r>
              <a:r>
                <a:rPr lang="es-ES" sz="1400" i="0">
                  <a:latin typeface="Cambria Math" panose="02040503050406030204" pitchFamily="18" charset="0"/>
                </a:rPr>
                <a:t>𝑥−0.5𝑥ⅇ^</a:t>
              </a:r>
              <a:r>
                <a:rPr lang="en-US" sz="1400" b="0" i="0">
                  <a:latin typeface="Cambria Math" panose="02040503050406030204" pitchFamily="18" charset="0"/>
                </a:rPr>
                <a:t>0.3</a:t>
              </a:r>
              <a:r>
                <a:rPr lang="es-ES" sz="1400" i="0">
                  <a:latin typeface="Cambria Math" panose="02040503050406030204" pitchFamily="18" charset="0"/>
                </a:rPr>
                <a:t>𝑥+5</a:t>
              </a:r>
              <a:endParaRPr lang="es-ES" sz="1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3105</xdr:colOff>
      <xdr:row>1</xdr:row>
      <xdr:rowOff>84667</xdr:rowOff>
    </xdr:from>
    <xdr:to>
      <xdr:col>7</xdr:col>
      <xdr:colOff>472792</xdr:colOff>
      <xdr:row>3</xdr:row>
      <xdr:rowOff>35277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EFDCC-0C6F-4713-8B9F-E8FE30168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80117" r="3925" b="6423"/>
        <a:stretch>
          <a:fillRect/>
        </a:stretch>
      </xdr:blipFill>
      <xdr:spPr bwMode="auto">
        <a:xfrm>
          <a:off x="795585" y="267547"/>
          <a:ext cx="5445547" cy="31637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611716</xdr:colOff>
      <xdr:row>10</xdr:row>
      <xdr:rowOff>61384</xdr:rowOff>
    </xdr:from>
    <xdr:ext cx="2329484" cy="2230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360AAA9-4EB5-4FB8-9E54-CAAE0D3C5FE2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40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ES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s-ES" sz="14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s-ES" sz="1400" i="1">
                                <a:latin typeface="Cambria Math" panose="02040503050406030204" pitchFamily="18" charset="0"/>
                              </a:rPr>
                              <m:t>cos</m:t>
                            </m:r>
                          </m:e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func>
                    <m:r>
                      <a:rPr lang="es-ES" sz="1400" i="1">
                        <a:latin typeface="Cambria Math" panose="02040503050406030204" pitchFamily="18" charset="0"/>
                      </a:rPr>
                      <m:t>−0.5</m:t>
                    </m:r>
                    <m:r>
                      <a:rPr lang="es-ES" sz="1400" i="1">
                        <a:latin typeface="Cambria Math" panose="02040503050406030204" pitchFamily="18" charset="0"/>
                      </a:rPr>
                      <m:t>𝑥</m:t>
                    </m:r>
                    <m:sSup>
                      <m:sSupPr>
                        <m:ctrlPr>
                          <a:rPr lang="es-ES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0.3</m:t>
                        </m:r>
                        <m:r>
                          <a:rPr lang="es-ES" sz="14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ES" sz="1400" i="1">
                        <a:latin typeface="Cambria Math" panose="02040503050406030204" pitchFamily="18" charset="0"/>
                      </a:rPr>
                      <m:t>+5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360AAA9-4EB5-4FB8-9E54-CAAE0D3C5FE2}"/>
                </a:ext>
              </a:extLst>
            </xdr:cNvPr>
            <xdr:cNvSpPr txBox="1"/>
          </xdr:nvSpPr>
          <xdr:spPr>
            <a:xfrm>
              <a:off x="2196676" y="1890184"/>
              <a:ext cx="2329484" cy="2230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i="0">
                  <a:latin typeface="Cambria Math" panose="02040503050406030204" pitchFamily="18" charset="0"/>
                </a:rPr>
                <a:t>𝑓(𝑥)=cos^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s-ES" sz="1400" b="0" i="0">
                  <a:latin typeface="Cambria Math" panose="02040503050406030204" pitchFamily="18" charset="0"/>
                </a:rPr>
                <a:t>⁡</a:t>
              </a:r>
              <a:r>
                <a:rPr lang="es-ES" sz="1400" i="0">
                  <a:latin typeface="Cambria Math" panose="02040503050406030204" pitchFamily="18" charset="0"/>
                </a:rPr>
                <a:t>𝑥−0.5𝑥ⅇ^</a:t>
              </a:r>
              <a:r>
                <a:rPr lang="en-US" sz="1400" b="0" i="0">
                  <a:latin typeface="Cambria Math" panose="02040503050406030204" pitchFamily="18" charset="0"/>
                </a:rPr>
                <a:t>0.3</a:t>
              </a:r>
              <a:r>
                <a:rPr lang="es-ES" sz="1400" i="0">
                  <a:latin typeface="Cambria Math" panose="02040503050406030204" pitchFamily="18" charset="0"/>
                </a:rPr>
                <a:t>𝑥+5</a:t>
              </a:r>
              <a:endParaRPr lang="es-ES" sz="1400"/>
            </a:p>
          </xdr:txBody>
        </xdr:sp>
      </mc:Fallback>
    </mc:AlternateContent>
    <xdr:clientData/>
  </xdr:oneCellAnchor>
  <xdr:twoCellAnchor editAs="oneCell">
    <xdr:from>
      <xdr:col>0</xdr:col>
      <xdr:colOff>721177</xdr:colOff>
      <xdr:row>15</xdr:row>
      <xdr:rowOff>13606</xdr:rowOff>
    </xdr:from>
    <xdr:to>
      <xdr:col>5</xdr:col>
      <xdr:colOff>554293</xdr:colOff>
      <xdr:row>32</xdr:row>
      <xdr:rowOff>81642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BC7696-3066-DEA1-20C1-4394F7179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177" y="2789463"/>
          <a:ext cx="3983295" cy="3075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36</xdr:row>
      <xdr:rowOff>8483</xdr:rowOff>
    </xdr:from>
    <xdr:to>
      <xdr:col>5</xdr:col>
      <xdr:colOff>592181</xdr:colOff>
      <xdr:row>52</xdr:row>
      <xdr:rowOff>1632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240D384-25B4-227F-7ABA-ADC92A4E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964" y="6621554"/>
          <a:ext cx="3667396" cy="2823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217715</xdr:colOff>
      <xdr:row>36</xdr:row>
      <xdr:rowOff>68036</xdr:rowOff>
    </xdr:from>
    <xdr:to>
      <xdr:col>10</xdr:col>
      <xdr:colOff>598715</xdr:colOff>
      <xdr:row>52</xdr:row>
      <xdr:rowOff>76690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068241-59CF-C766-1261-A43540AA4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15" y="6681107"/>
          <a:ext cx="3687536" cy="283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108856</xdr:colOff>
      <xdr:row>35</xdr:row>
      <xdr:rowOff>244927</xdr:rowOff>
    </xdr:from>
    <xdr:to>
      <xdr:col>16</xdr:col>
      <xdr:colOff>33919</xdr:colOff>
      <xdr:row>52</xdr:row>
      <xdr:rowOff>163285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77BC7D5-E411-C4DB-647D-5F7FDE3D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1213" y="6558641"/>
          <a:ext cx="3898349" cy="304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09D4-A324-49F0-9336-02BDE4B8DD02}">
  <dimension ref="A6:O90"/>
  <sheetViews>
    <sheetView tabSelected="1" topLeftCell="A22" zoomScale="108" zoomScaleNormal="108" workbookViewId="0">
      <selection activeCell="D40" sqref="D40:F41"/>
    </sheetView>
  </sheetViews>
  <sheetFormatPr baseColWidth="10" defaultRowHeight="14.4" x14ac:dyDescent="0.3"/>
  <cols>
    <col min="2" max="2" width="11.5546875" customWidth="1"/>
    <col min="3" max="3" width="12.88671875" bestFit="1" customWidth="1"/>
    <col min="4" max="4" width="13.33203125" bestFit="1" customWidth="1"/>
    <col min="5" max="6" width="12" bestFit="1" customWidth="1"/>
    <col min="7" max="7" width="11.77734375" bestFit="1" customWidth="1"/>
    <col min="8" max="8" width="15" bestFit="1" customWidth="1"/>
    <col min="9" max="9" width="14" bestFit="1" customWidth="1"/>
    <col min="10" max="10" width="13.109375" bestFit="1" customWidth="1"/>
    <col min="11" max="13" width="12" bestFit="1" customWidth="1"/>
    <col min="14" max="16" width="11.77734375" bestFit="1" customWidth="1"/>
    <col min="17" max="17" width="15" bestFit="1" customWidth="1"/>
    <col min="18" max="18" width="11.77734375" bestFit="1" customWidth="1"/>
    <col min="20" max="22" width="11.77734375" bestFit="1" customWidth="1"/>
    <col min="23" max="25" width="11.6640625" bestFit="1" customWidth="1"/>
    <col min="26" max="26" width="13.5546875" bestFit="1" customWidth="1"/>
    <col min="27" max="27" width="11.6640625" bestFit="1" customWidth="1"/>
  </cols>
  <sheetData>
    <row r="6" spans="2:10" x14ac:dyDescent="0.3">
      <c r="B6" s="15" t="s">
        <v>0</v>
      </c>
      <c r="C6" s="15"/>
      <c r="D6" s="15"/>
      <c r="E6" s="15"/>
      <c r="F6" s="15"/>
      <c r="G6" s="15"/>
      <c r="H6" s="24"/>
      <c r="I6" s="24"/>
      <c r="J6" s="24"/>
    </row>
    <row r="7" spans="2:10" x14ac:dyDescent="0.3">
      <c r="B7" s="10"/>
      <c r="C7" s="13" t="s">
        <v>20</v>
      </c>
      <c r="D7" s="26">
        <v>3.7256021764999998</v>
      </c>
      <c r="E7" s="26"/>
      <c r="F7" s="26"/>
      <c r="G7" s="10"/>
      <c r="I7" s="25"/>
      <c r="J7" s="25"/>
    </row>
    <row r="8" spans="2:10" x14ac:dyDescent="0.3">
      <c r="B8" s="10"/>
      <c r="C8" s="13"/>
      <c r="D8" s="26"/>
      <c r="E8" s="26"/>
      <c r="F8" s="26"/>
      <c r="G8" s="10"/>
      <c r="H8" s="25"/>
      <c r="I8" s="25"/>
      <c r="J8" s="25"/>
    </row>
    <row r="10" spans="2:10" x14ac:dyDescent="0.3">
      <c r="B10" s="15" t="s">
        <v>1</v>
      </c>
      <c r="C10" s="15"/>
      <c r="D10" s="15"/>
      <c r="E10" s="15"/>
      <c r="F10" s="15"/>
      <c r="G10" s="15"/>
    </row>
    <row r="11" spans="2:10" x14ac:dyDescent="0.3">
      <c r="B11" s="14"/>
      <c r="C11" s="14"/>
      <c r="D11" s="14"/>
      <c r="E11" s="14"/>
      <c r="F11" s="14"/>
      <c r="G11" s="14"/>
    </row>
    <row r="12" spans="2:10" x14ac:dyDescent="0.3">
      <c r="B12" s="14"/>
      <c r="C12" s="14"/>
      <c r="D12" s="14"/>
      <c r="E12" s="14"/>
      <c r="F12" s="14"/>
      <c r="G12" s="14"/>
    </row>
    <row r="14" spans="2:10" ht="23.4" x14ac:dyDescent="0.45">
      <c r="B14" s="4" t="s">
        <v>2</v>
      </c>
    </row>
    <row r="16" spans="2:10" x14ac:dyDescent="0.3">
      <c r="B16" s="17" t="s">
        <v>3</v>
      </c>
      <c r="C16" s="17"/>
      <c r="D16" s="17"/>
      <c r="E16" s="17"/>
      <c r="F16" s="17"/>
      <c r="G16" s="17"/>
      <c r="I16" s="14"/>
      <c r="J16" s="14"/>
    </row>
    <row r="17" spans="1:10" x14ac:dyDescent="0.3">
      <c r="B17" s="14"/>
      <c r="C17" s="14"/>
      <c r="D17" s="14"/>
      <c r="E17" s="14"/>
      <c r="F17" s="14"/>
      <c r="G17" s="14"/>
      <c r="I17" s="14"/>
      <c r="J17" s="14"/>
    </row>
    <row r="18" spans="1:10" x14ac:dyDescent="0.3">
      <c r="B18" s="14"/>
      <c r="C18" s="14"/>
      <c r="D18" s="14"/>
      <c r="E18" s="14"/>
      <c r="F18" s="14"/>
      <c r="G18" s="14"/>
      <c r="I18" s="14"/>
      <c r="J18" s="14"/>
    </row>
    <row r="21" spans="1:10" x14ac:dyDescent="0.3">
      <c r="A21" s="1"/>
      <c r="B21" s="5" t="s">
        <v>4</v>
      </c>
      <c r="C21" s="5" t="s">
        <v>5</v>
      </c>
      <c r="D21" s="5" t="s">
        <v>6</v>
      </c>
      <c r="E21" s="5" t="s">
        <v>11</v>
      </c>
      <c r="F21" s="5" t="s">
        <v>7</v>
      </c>
      <c r="G21" s="5" t="s">
        <v>8</v>
      </c>
      <c r="H21" s="5" t="s">
        <v>9</v>
      </c>
      <c r="I21" s="5" t="s">
        <v>10</v>
      </c>
    </row>
    <row r="22" spans="1:10" x14ac:dyDescent="0.3">
      <c r="B22">
        <v>0</v>
      </c>
      <c r="C22">
        <v>3</v>
      </c>
      <c r="D22">
        <v>4</v>
      </c>
      <c r="E22">
        <f t="shared" ref="E22:E31" si="0">(C22+D22)/2</f>
        <v>3.5</v>
      </c>
      <c r="F22">
        <f>(COS(C22)^2)-0.5*C22*EXP(0.3*C22)+5</f>
        <v>2.2906804765897588</v>
      </c>
      <c r="G22">
        <f t="shared" ref="G22:H22" si="1">(COS(D22)^2)-0.5*D22*EXP(0.3*D22)+5</f>
        <v>-1.212983862377401</v>
      </c>
      <c r="H22">
        <f t="shared" si="1"/>
        <v>0.87606167056111595</v>
      </c>
      <c r="I22">
        <v>1E-4</v>
      </c>
    </row>
    <row r="23" spans="1:10" x14ac:dyDescent="0.3">
      <c r="B23">
        <v>1</v>
      </c>
      <c r="C23">
        <f t="shared" ref="C23:C31" si="2">IF(F22*H22&lt;0,C22,E22)</f>
        <v>3.5</v>
      </c>
      <c r="D23">
        <f t="shared" ref="D23:D31" si="3">IF(F22*H22&lt;0,E22,D22)</f>
        <v>4</v>
      </c>
      <c r="E23">
        <f t="shared" si="0"/>
        <v>3.75</v>
      </c>
      <c r="F23">
        <f t="shared" ref="F23:F34" si="4">(COS(C23)^2)-0.5*C23*EXP(0.3*C23)+5</f>
        <v>0.87606167056111595</v>
      </c>
      <c r="G23">
        <f t="shared" ref="G23:G35" si="5">(COS(D23)^2)-0.5*D23*EXP(0.3*D23)+5</f>
        <v>-1.212983862377401</v>
      </c>
      <c r="H23">
        <f t="shared" ref="H23:H35" si="6">(COS(E23)^2)-0.5*E23*EXP(0.3*E23)+5</f>
        <v>-0.10208893280379527</v>
      </c>
    </row>
    <row r="24" spans="1:10" x14ac:dyDescent="0.3">
      <c r="B24">
        <v>2</v>
      </c>
      <c r="C24">
        <f t="shared" si="2"/>
        <v>3.5</v>
      </c>
      <c r="D24">
        <f t="shared" si="3"/>
        <v>3.75</v>
      </c>
      <c r="E24">
        <f t="shared" si="0"/>
        <v>3.625</v>
      </c>
      <c r="F24">
        <f t="shared" si="4"/>
        <v>0.87606167056111595</v>
      </c>
      <c r="G24">
        <f t="shared" si="5"/>
        <v>-0.10208893280379527</v>
      </c>
      <c r="H24">
        <f t="shared" si="6"/>
        <v>0.40655067707081294</v>
      </c>
    </row>
    <row r="25" spans="1:10" x14ac:dyDescent="0.3">
      <c r="B25">
        <v>3</v>
      </c>
      <c r="C25">
        <f t="shared" si="2"/>
        <v>3.625</v>
      </c>
      <c r="D25">
        <f t="shared" si="3"/>
        <v>3.75</v>
      </c>
      <c r="E25">
        <f t="shared" si="0"/>
        <v>3.6875</v>
      </c>
      <c r="F25">
        <f t="shared" si="4"/>
        <v>0.40655067707081294</v>
      </c>
      <c r="G25">
        <f t="shared" si="5"/>
        <v>-0.10208893280379527</v>
      </c>
      <c r="H25">
        <f t="shared" si="6"/>
        <v>0.15677999132921183</v>
      </c>
    </row>
    <row r="26" spans="1:10" x14ac:dyDescent="0.3">
      <c r="B26">
        <v>4</v>
      </c>
      <c r="C26">
        <f t="shared" si="2"/>
        <v>3.6875</v>
      </c>
      <c r="D26">
        <f t="shared" si="3"/>
        <v>3.75</v>
      </c>
      <c r="E26">
        <f t="shared" si="0"/>
        <v>3.71875</v>
      </c>
      <c r="F26">
        <f t="shared" si="4"/>
        <v>0.15677999132921183</v>
      </c>
      <c r="G26">
        <f t="shared" si="5"/>
        <v>-0.10208893280379527</v>
      </c>
      <c r="H26">
        <f t="shared" si="6"/>
        <v>2.8436804737782317E-2</v>
      </c>
    </row>
    <row r="27" spans="1:10" x14ac:dyDescent="0.3">
      <c r="B27">
        <v>5</v>
      </c>
      <c r="C27">
        <f t="shared" si="2"/>
        <v>3.71875</v>
      </c>
      <c r="D27">
        <f t="shared" si="3"/>
        <v>3.75</v>
      </c>
      <c r="E27">
        <f t="shared" si="0"/>
        <v>3.734375</v>
      </c>
      <c r="F27">
        <f t="shared" si="4"/>
        <v>2.8436804737782317E-2</v>
      </c>
      <c r="G27">
        <f t="shared" si="5"/>
        <v>-0.10208893280379527</v>
      </c>
      <c r="H27">
        <f t="shared" si="6"/>
        <v>-3.6559165284978157E-2</v>
      </c>
    </row>
    <row r="28" spans="1:10" x14ac:dyDescent="0.3">
      <c r="B28">
        <v>6</v>
      </c>
      <c r="C28">
        <f t="shared" si="2"/>
        <v>3.71875</v>
      </c>
      <c r="D28">
        <f t="shared" si="3"/>
        <v>3.734375</v>
      </c>
      <c r="E28">
        <f t="shared" si="0"/>
        <v>3.7265625</v>
      </c>
      <c r="F28">
        <f t="shared" si="4"/>
        <v>2.8436804737782317E-2</v>
      </c>
      <c r="G28">
        <f t="shared" si="5"/>
        <v>-3.6559165284978157E-2</v>
      </c>
      <c r="H28">
        <f t="shared" si="6"/>
        <v>-3.9937086888297557E-3</v>
      </c>
    </row>
    <row r="29" spans="1:10" x14ac:dyDescent="0.3">
      <c r="B29">
        <v>7</v>
      </c>
      <c r="C29">
        <f t="shared" si="2"/>
        <v>3.71875</v>
      </c>
      <c r="D29">
        <f t="shared" si="3"/>
        <v>3.7265625</v>
      </c>
      <c r="E29">
        <f t="shared" si="0"/>
        <v>3.72265625</v>
      </c>
      <c r="F29">
        <f t="shared" si="4"/>
        <v>2.8436804737782317E-2</v>
      </c>
      <c r="G29">
        <f t="shared" si="5"/>
        <v>-3.9937086888297557E-3</v>
      </c>
      <c r="H29">
        <f t="shared" si="6"/>
        <v>1.2238508701804207E-2</v>
      </c>
    </row>
    <row r="30" spans="1:10" x14ac:dyDescent="0.3">
      <c r="B30">
        <v>8</v>
      </c>
      <c r="C30">
        <f t="shared" si="2"/>
        <v>3.72265625</v>
      </c>
      <c r="D30">
        <f t="shared" si="3"/>
        <v>3.7265625</v>
      </c>
      <c r="E30">
        <f t="shared" si="0"/>
        <v>3.724609375</v>
      </c>
      <c r="F30">
        <f t="shared" si="4"/>
        <v>1.2238508701804207E-2</v>
      </c>
      <c r="G30">
        <f t="shared" si="5"/>
        <v>-3.9937086888297557E-3</v>
      </c>
      <c r="H30">
        <f t="shared" si="6"/>
        <v>4.1266286048040612E-3</v>
      </c>
    </row>
    <row r="31" spans="1:10" x14ac:dyDescent="0.3">
      <c r="B31">
        <v>9</v>
      </c>
      <c r="C31">
        <f t="shared" si="2"/>
        <v>3.724609375</v>
      </c>
      <c r="D31">
        <f t="shared" si="3"/>
        <v>3.7265625</v>
      </c>
      <c r="E31">
        <f t="shared" si="0"/>
        <v>3.7255859375</v>
      </c>
      <c r="F31">
        <f t="shared" si="4"/>
        <v>4.1266286048040612E-3</v>
      </c>
      <c r="G31">
        <f t="shared" si="5"/>
        <v>-3.9937086888297557E-3</v>
      </c>
      <c r="H31">
        <f t="shared" si="6"/>
        <v>6.7515658837891124E-5</v>
      </c>
    </row>
    <row r="32" spans="1:10" x14ac:dyDescent="0.3">
      <c r="B32">
        <v>10</v>
      </c>
      <c r="C32">
        <f t="shared" ref="C32:C34" si="7">IF(F31*H31&lt;0,C31,E31)</f>
        <v>3.7255859375</v>
      </c>
      <c r="D32">
        <f t="shared" ref="D32:D34" si="8">IF(F31*H31&lt;0,E31,D31)</f>
        <v>3.7265625</v>
      </c>
      <c r="E32">
        <f t="shared" ref="E32:E34" si="9">(C32+D32)/2</f>
        <v>3.72607421875</v>
      </c>
      <c r="F32">
        <f t="shared" si="4"/>
        <v>6.7515658837891124E-5</v>
      </c>
      <c r="G32">
        <f t="shared" si="5"/>
        <v>-3.9937086888297557E-3</v>
      </c>
      <c r="H32">
        <f t="shared" si="6"/>
        <v>-1.9628327710181637E-3</v>
      </c>
    </row>
    <row r="33" spans="2:14" x14ac:dyDescent="0.3">
      <c r="B33">
        <v>11</v>
      </c>
      <c r="C33">
        <f t="shared" si="7"/>
        <v>3.7255859375</v>
      </c>
      <c r="D33">
        <f t="shared" si="8"/>
        <v>3.72607421875</v>
      </c>
      <c r="E33">
        <f t="shared" si="9"/>
        <v>3.725830078125</v>
      </c>
      <c r="F33">
        <f t="shared" si="4"/>
        <v>6.7515658837891124E-5</v>
      </c>
      <c r="G33">
        <f t="shared" si="5"/>
        <v>-1.9628327710181637E-3</v>
      </c>
      <c r="H33">
        <f t="shared" si="6"/>
        <v>-9.47592597435154E-4</v>
      </c>
    </row>
    <row r="34" spans="2:14" x14ac:dyDescent="0.3">
      <c r="B34">
        <v>12</v>
      </c>
      <c r="C34">
        <f t="shared" si="7"/>
        <v>3.7255859375</v>
      </c>
      <c r="D34">
        <f t="shared" si="8"/>
        <v>3.725830078125</v>
      </c>
      <c r="E34">
        <f t="shared" si="9"/>
        <v>3.7257080078125</v>
      </c>
      <c r="F34">
        <f t="shared" si="4"/>
        <v>6.7515658837891124E-5</v>
      </c>
      <c r="G34">
        <f t="shared" si="5"/>
        <v>-9.47592597435154E-4</v>
      </c>
      <c r="H34">
        <f t="shared" si="6"/>
        <v>-4.4002197680192978E-4</v>
      </c>
    </row>
    <row r="35" spans="2:14" x14ac:dyDescent="0.3">
      <c r="B35">
        <v>13</v>
      </c>
      <c r="C35">
        <f t="shared" ref="C35:C36" si="10">IF(F34*H34&lt;0,C34,E34)</f>
        <v>3.7255859375</v>
      </c>
      <c r="D35">
        <f t="shared" ref="D35:D36" si="11">IF(F34*H34&lt;0,E34,D34)</f>
        <v>3.7257080078125</v>
      </c>
      <c r="E35">
        <f t="shared" ref="E35" si="12">(C35+D35)/2</f>
        <v>3.72564697265625</v>
      </c>
      <c r="F35">
        <f>(COS(C35)^2)-0.5*C35*EXP(0.3*C35)+5</f>
        <v>6.7515658837891124E-5</v>
      </c>
      <c r="G35">
        <f t="shared" si="5"/>
        <v>-4.4002197680192978E-4</v>
      </c>
      <c r="H35">
        <f t="shared" si="6"/>
        <v>-1.8624903550357175E-4</v>
      </c>
    </row>
    <row r="36" spans="2:14" x14ac:dyDescent="0.3">
      <c r="B36">
        <v>14</v>
      </c>
      <c r="C36">
        <f t="shared" si="10"/>
        <v>3.7255859375</v>
      </c>
      <c r="D36">
        <f t="shared" si="11"/>
        <v>3.72564697265625</v>
      </c>
      <c r="E36" s="6">
        <f>(C36+D36)/2</f>
        <v>3.725616455078125</v>
      </c>
      <c r="F36">
        <f t="shared" ref="F36" si="13">(COS(C36)^2)-0.5*C36*EXP(0.3*C36)+5</f>
        <v>6.7515658837891124E-5</v>
      </c>
      <c r="G36">
        <f t="shared" ref="G36" si="14">(COS(D36)^2)-0.5*D36*EXP(0.3*D36)+5</f>
        <v>-1.8624903550357175E-4</v>
      </c>
      <c r="H36">
        <f t="shared" ref="H36" si="15">(COS(E36)^2)-0.5*E36*EXP(0.3*E36)+5</f>
        <v>-5.9365657417487228E-5</v>
      </c>
    </row>
    <row r="37" spans="2:14" x14ac:dyDescent="0.3">
      <c r="E37" s="2"/>
    </row>
    <row r="38" spans="2:14" x14ac:dyDescent="0.3">
      <c r="C38" s="7"/>
      <c r="D38" s="7"/>
      <c r="N38" s="2"/>
    </row>
    <row r="39" spans="2:14" x14ac:dyDescent="0.3">
      <c r="B39" s="17" t="s">
        <v>21</v>
      </c>
      <c r="C39" s="17"/>
      <c r="D39" s="17"/>
      <c r="E39" s="17"/>
      <c r="F39" s="17"/>
      <c r="G39" s="17"/>
      <c r="H39" s="24"/>
      <c r="I39" s="24"/>
      <c r="J39" s="24"/>
      <c r="N39" s="2"/>
    </row>
    <row r="40" spans="2:14" x14ac:dyDescent="0.3">
      <c r="B40" s="10"/>
      <c r="C40" s="16" t="s">
        <v>22</v>
      </c>
      <c r="D40" s="16">
        <f>ABS(D7-E36)/ABS(D7)*100</f>
        <v>3.8325557718583395E-4</v>
      </c>
      <c r="E40" s="16"/>
      <c r="F40" s="16"/>
      <c r="G40" s="27"/>
      <c r="H40" s="10"/>
      <c r="I40" s="27"/>
      <c r="J40" s="27"/>
      <c r="N40" s="2"/>
    </row>
    <row r="41" spans="2:14" x14ac:dyDescent="0.3">
      <c r="B41" s="10"/>
      <c r="C41" s="16"/>
      <c r="D41" s="16"/>
      <c r="E41" s="16"/>
      <c r="F41" s="16"/>
      <c r="G41" s="27"/>
      <c r="H41" s="10"/>
      <c r="I41" s="27"/>
      <c r="J41" s="27"/>
    </row>
    <row r="44" spans="2:14" ht="23.4" x14ac:dyDescent="0.45">
      <c r="B44" s="4"/>
      <c r="C44" s="14"/>
      <c r="D44" s="14"/>
      <c r="E44" s="14"/>
    </row>
    <row r="46" spans="2:14" x14ac:dyDescent="0.3">
      <c r="B46" s="2"/>
      <c r="C46" s="2"/>
      <c r="D46" s="2"/>
      <c r="E46" s="2"/>
      <c r="F46" s="2"/>
      <c r="G46" s="2"/>
      <c r="I46" s="2"/>
      <c r="J46" s="2"/>
      <c r="K46" s="2"/>
    </row>
    <row r="47" spans="2:14" x14ac:dyDescent="0.3">
      <c r="I47" s="2"/>
      <c r="J47" s="2"/>
      <c r="K47" s="2"/>
    </row>
    <row r="48" spans="2:14" x14ac:dyDescent="0.3">
      <c r="I48" s="2"/>
      <c r="J48" s="2"/>
      <c r="K48" s="2"/>
    </row>
    <row r="49" spans="2:15" x14ac:dyDescent="0.3">
      <c r="I49" s="2"/>
      <c r="J49" s="2"/>
      <c r="K49" s="2"/>
    </row>
    <row r="50" spans="2:15" x14ac:dyDescent="0.3">
      <c r="B50" s="2"/>
      <c r="C50" s="2"/>
      <c r="D50" s="2"/>
      <c r="E50" s="2"/>
      <c r="F50" s="2"/>
      <c r="G50" s="2"/>
      <c r="I50" s="2"/>
      <c r="J50" s="2"/>
      <c r="K50" s="2"/>
    </row>
    <row r="55" spans="2:15" x14ac:dyDescent="0.3">
      <c r="B55" s="3"/>
      <c r="C55" s="3"/>
      <c r="D55" s="3"/>
      <c r="E55" s="3"/>
      <c r="F55" s="3"/>
      <c r="G55" s="3"/>
      <c r="I55" s="3"/>
      <c r="J55" s="3"/>
      <c r="K55" s="3"/>
      <c r="L55" s="3"/>
      <c r="M55" s="3"/>
      <c r="O55" s="3"/>
    </row>
    <row r="57" spans="2:15" x14ac:dyDescent="0.3">
      <c r="M57" s="2"/>
    </row>
    <row r="58" spans="2:15" x14ac:dyDescent="0.3">
      <c r="F58" s="2"/>
      <c r="J58" s="2"/>
      <c r="M58" s="2"/>
    </row>
    <row r="59" spans="2:15" x14ac:dyDescent="0.3">
      <c r="C59" s="2"/>
    </row>
    <row r="62" spans="2:15" x14ac:dyDescent="0.3">
      <c r="B62" s="2"/>
      <c r="C62" s="2"/>
      <c r="D62" s="2"/>
      <c r="E62" s="2"/>
      <c r="F62" s="2"/>
      <c r="G62" s="2"/>
    </row>
    <row r="63" spans="2:15" x14ac:dyDescent="0.3">
      <c r="B63" s="10"/>
      <c r="C63" s="11"/>
      <c r="D63" s="11"/>
      <c r="E63" s="10"/>
      <c r="F63" s="12"/>
      <c r="G63" s="12"/>
    </row>
    <row r="64" spans="2:15" x14ac:dyDescent="0.3">
      <c r="B64" s="10"/>
      <c r="C64" s="11"/>
      <c r="D64" s="11"/>
      <c r="E64" s="10"/>
      <c r="F64" s="12"/>
      <c r="G64" s="12"/>
    </row>
    <row r="67" spans="1:11" ht="23.4" x14ac:dyDescent="0.45">
      <c r="B67" s="4"/>
      <c r="C67" s="4"/>
    </row>
    <row r="69" spans="1:11" x14ac:dyDescent="0.3">
      <c r="B69" s="2"/>
      <c r="C69" s="2"/>
      <c r="D69" s="2"/>
      <c r="E69" s="2"/>
      <c r="F69" s="2"/>
      <c r="G69" s="2"/>
    </row>
    <row r="71" spans="1:11" x14ac:dyDescent="0.3">
      <c r="A71" s="1"/>
    </row>
    <row r="72" spans="1:11" x14ac:dyDescent="0.3">
      <c r="A72" s="1"/>
      <c r="B72" s="1"/>
      <c r="C72" s="1"/>
      <c r="D72" s="1"/>
      <c r="E72" s="1"/>
      <c r="F72" s="1"/>
    </row>
    <row r="74" spans="1:11" x14ac:dyDescent="0.3">
      <c r="B74" s="3"/>
      <c r="C74" s="3"/>
      <c r="D74" s="3"/>
      <c r="E74" s="3"/>
      <c r="H74" s="3"/>
      <c r="I74" s="3"/>
      <c r="J74" s="3"/>
      <c r="K74" s="3"/>
    </row>
    <row r="80" spans="1:11" x14ac:dyDescent="0.3">
      <c r="C80" s="2"/>
    </row>
    <row r="82" spans="2:9" x14ac:dyDescent="0.3">
      <c r="I82" s="2"/>
    </row>
    <row r="85" spans="2:9" x14ac:dyDescent="0.3">
      <c r="B85" s="2"/>
      <c r="C85" s="2"/>
      <c r="D85" s="2"/>
      <c r="E85" s="2"/>
      <c r="F85" s="2"/>
      <c r="G85" s="2"/>
    </row>
    <row r="86" spans="2:9" x14ac:dyDescent="0.3">
      <c r="B86" s="10"/>
      <c r="C86" s="11"/>
      <c r="D86" s="11"/>
      <c r="E86" s="10"/>
      <c r="F86" s="12"/>
      <c r="G86" s="12"/>
    </row>
    <row r="87" spans="2:9" x14ac:dyDescent="0.3">
      <c r="B87" s="10"/>
      <c r="C87" s="11"/>
      <c r="D87" s="11"/>
      <c r="E87" s="10"/>
      <c r="F87" s="12"/>
      <c r="G87" s="12"/>
    </row>
    <row r="90" spans="2:9" ht="14.4" customHeight="1" x14ac:dyDescent="0.45">
      <c r="B90" s="4"/>
    </row>
  </sheetData>
  <mergeCells count="12">
    <mergeCell ref="I16:J18"/>
    <mergeCell ref="B16:G16"/>
    <mergeCell ref="B17:G18"/>
    <mergeCell ref="B10:G10"/>
    <mergeCell ref="B11:G12"/>
    <mergeCell ref="B6:G6"/>
    <mergeCell ref="C44:E44"/>
    <mergeCell ref="C7:C8"/>
    <mergeCell ref="D7:F8"/>
    <mergeCell ref="B39:G39"/>
    <mergeCell ref="C40:C41"/>
    <mergeCell ref="D40:F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DB6B-D219-467E-A805-01CE87C2C812}">
  <dimension ref="A6:R37"/>
  <sheetViews>
    <sheetView topLeftCell="A16" zoomScale="89" zoomScaleNormal="96" workbookViewId="0">
      <selection activeCell="D27" sqref="D27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5" t="s">
        <v>0</v>
      </c>
      <c r="C6" s="15"/>
      <c r="D6" s="15"/>
      <c r="E6" s="15"/>
      <c r="F6" s="15"/>
      <c r="G6" s="15"/>
      <c r="H6" s="24"/>
      <c r="I6" s="24"/>
      <c r="J6" s="24"/>
    </row>
    <row r="7" spans="2:10" x14ac:dyDescent="0.3">
      <c r="B7" s="10"/>
      <c r="C7" s="13" t="s">
        <v>20</v>
      </c>
      <c r="D7" s="26">
        <v>3.7256021764999998</v>
      </c>
      <c r="E7" s="26"/>
      <c r="F7" s="26"/>
      <c r="G7" s="10"/>
      <c r="I7" s="25"/>
      <c r="J7" s="25"/>
    </row>
    <row r="8" spans="2:10" x14ac:dyDescent="0.3">
      <c r="B8" s="10"/>
      <c r="C8" s="13"/>
      <c r="D8" s="26"/>
      <c r="E8" s="26"/>
      <c r="F8" s="26"/>
      <c r="G8" s="10"/>
      <c r="H8" s="25"/>
      <c r="I8" s="25"/>
      <c r="J8" s="25"/>
    </row>
    <row r="10" spans="2:10" x14ac:dyDescent="0.3">
      <c r="B10" s="15" t="s">
        <v>1</v>
      </c>
      <c r="C10" s="15"/>
      <c r="D10" s="15"/>
      <c r="E10" s="15"/>
      <c r="F10" s="15"/>
      <c r="G10" s="15"/>
    </row>
    <row r="11" spans="2:10" x14ac:dyDescent="0.3">
      <c r="B11" s="14"/>
      <c r="C11" s="14"/>
      <c r="D11" s="14"/>
      <c r="E11" s="14"/>
      <c r="F11" s="14"/>
      <c r="G11" s="14"/>
    </row>
    <row r="12" spans="2:10" x14ac:dyDescent="0.3">
      <c r="B12" s="14"/>
      <c r="C12" s="14"/>
      <c r="D12" s="14"/>
      <c r="E12" s="14"/>
      <c r="F12" s="14"/>
      <c r="G12" s="14"/>
    </row>
    <row r="15" spans="2:10" ht="23.4" x14ac:dyDescent="0.45">
      <c r="B15" s="4" t="s">
        <v>12</v>
      </c>
    </row>
    <row r="17" spans="1:18" x14ac:dyDescent="0.3">
      <c r="B17" s="18" t="s">
        <v>13</v>
      </c>
      <c r="C17" s="18"/>
      <c r="D17" s="18"/>
      <c r="E17" s="18"/>
      <c r="F17" s="18"/>
      <c r="G17" s="18"/>
      <c r="I17" s="19"/>
      <c r="J17" s="19"/>
      <c r="K17" s="19"/>
    </row>
    <row r="18" spans="1:18" x14ac:dyDescent="0.3">
      <c r="B18" s="14"/>
      <c r="C18" s="14"/>
      <c r="D18" s="14"/>
      <c r="E18" s="14"/>
      <c r="F18" s="14"/>
      <c r="G18" s="14"/>
      <c r="I18" s="19"/>
      <c r="J18" s="19"/>
      <c r="K18" s="19"/>
    </row>
    <row r="19" spans="1:18" x14ac:dyDescent="0.3">
      <c r="B19" s="14"/>
      <c r="C19" s="14"/>
      <c r="D19" s="14"/>
      <c r="E19" s="14"/>
      <c r="F19" s="14"/>
      <c r="G19" s="14"/>
      <c r="I19" s="19"/>
      <c r="J19" s="19"/>
      <c r="K19" s="19"/>
    </row>
    <row r="20" spans="1:18" x14ac:dyDescent="0.3">
      <c r="I20" s="19"/>
      <c r="J20" s="19"/>
      <c r="K20" s="19"/>
    </row>
    <row r="21" spans="1:18" x14ac:dyDescent="0.3">
      <c r="B21" s="18" t="s">
        <v>14</v>
      </c>
      <c r="C21" s="18"/>
      <c r="D21" s="18"/>
      <c r="E21" s="18"/>
      <c r="F21" s="18"/>
      <c r="G21" s="18"/>
      <c r="I21" s="2"/>
      <c r="J21" s="2"/>
      <c r="K21" s="2"/>
    </row>
    <row r="22" spans="1:18" x14ac:dyDescent="0.3">
      <c r="B22" s="14"/>
      <c r="C22" s="14"/>
      <c r="D22" s="14"/>
      <c r="E22" s="14"/>
      <c r="F22" s="14"/>
      <c r="G22" s="14"/>
    </row>
    <row r="23" spans="1:18" x14ac:dyDescent="0.3">
      <c r="B23" s="14"/>
      <c r="C23" s="14"/>
      <c r="D23" s="14"/>
      <c r="E23" s="14"/>
      <c r="F23" s="14"/>
      <c r="G23" s="14"/>
    </row>
    <row r="26" spans="1:18" x14ac:dyDescent="0.3">
      <c r="A26" s="1"/>
      <c r="B26" s="8" t="s">
        <v>4</v>
      </c>
      <c r="C26" s="8" t="s">
        <v>19</v>
      </c>
      <c r="D26" s="8" t="s">
        <v>16</v>
      </c>
      <c r="E26" s="8" t="s">
        <v>17</v>
      </c>
      <c r="F26" s="8" t="s">
        <v>10</v>
      </c>
      <c r="G26" s="28"/>
      <c r="H26" s="29"/>
      <c r="I26" s="29"/>
      <c r="J26" s="29"/>
      <c r="K26" s="29"/>
      <c r="L26" s="29"/>
      <c r="M26" s="28"/>
      <c r="N26" s="29"/>
      <c r="O26" s="29"/>
      <c r="P26" s="29"/>
      <c r="Q26" s="29"/>
      <c r="R26" s="29"/>
    </row>
    <row r="27" spans="1:18" x14ac:dyDescent="0.3">
      <c r="B27">
        <v>0</v>
      </c>
      <c r="C27">
        <v>3.5</v>
      </c>
      <c r="D27">
        <f>(COS(C27)^2)-0.5*C27*EXP(0.3*C27)+5</f>
        <v>0.87606167056111595</v>
      </c>
      <c r="E27">
        <f>-2*COS(C27)*SIN(C27)-(0.5*EXP(0.3*C27)*(1+0.3*C27))</f>
        <v>-3.5860789947335316</v>
      </c>
      <c r="F27">
        <v>1E-4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x14ac:dyDescent="0.3">
      <c r="B28">
        <v>1</v>
      </c>
      <c r="C28">
        <f>C27-(D27/E27)</f>
        <v>3.7442951401370936</v>
      </c>
      <c r="D28">
        <f t="shared" ref="D28:D30" si="0">(COS(C28)^2)-0.5*C28*EXP(0.3*C28)+5</f>
        <v>-7.8102181147251315E-2</v>
      </c>
      <c r="E28">
        <f t="shared" ref="E28:E29" si="1">-2*COS(C28)*SIN(C28)-(0.5*EXP(0.3*C28)*(1+0.3*C28))</f>
        <v>-4.1984867244486175</v>
      </c>
      <c r="G28" s="30"/>
      <c r="H28" s="30"/>
      <c r="I28" s="31"/>
      <c r="J28" s="30"/>
      <c r="K28" s="30"/>
      <c r="L28" s="30"/>
      <c r="M28" s="31"/>
      <c r="N28" s="30"/>
      <c r="O28" s="30"/>
      <c r="P28" s="30"/>
      <c r="Q28" s="30"/>
      <c r="R28" s="30"/>
    </row>
    <row r="29" spans="1:18" x14ac:dyDescent="0.3">
      <c r="B29">
        <v>2</v>
      </c>
      <c r="C29" s="32">
        <f>C28-(D28/E28)</f>
        <v>3.7256926801858814</v>
      </c>
      <c r="D29">
        <f t="shared" si="0"/>
        <v>-3.7629175216125077E-4</v>
      </c>
      <c r="E29">
        <f t="shared" si="1"/>
        <v>-4.1578494960558432</v>
      </c>
      <c r="F29" s="2"/>
      <c r="G29" s="30"/>
      <c r="H29" s="30"/>
      <c r="I29" s="31"/>
      <c r="J29" s="30"/>
      <c r="K29" s="30"/>
      <c r="L29" s="31"/>
      <c r="M29" s="31"/>
      <c r="N29" s="30"/>
      <c r="O29" s="31"/>
      <c r="P29" s="30"/>
      <c r="Q29" s="30"/>
      <c r="R29" s="31"/>
    </row>
    <row r="30" spans="1:18" x14ac:dyDescent="0.3">
      <c r="B30">
        <v>3</v>
      </c>
      <c r="C30" s="6">
        <f>C29-(D29/E29)</f>
        <v>3.7256021786531734</v>
      </c>
      <c r="D30">
        <f t="shared" si="0"/>
        <v>-9.0657943374594652E-9</v>
      </c>
      <c r="E30">
        <f t="shared" ref="E30" si="2">-2*COS(C30)*SIN(C30)-(0.5*EXP(0.3*C30)*(1+0.3*C30))</f>
        <v>-4.1576491461214049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1:18" x14ac:dyDescent="0.3">
      <c r="C31" s="2"/>
    </row>
    <row r="34" spans="2:10" x14ac:dyDescent="0.3">
      <c r="B34" s="18" t="s">
        <v>21</v>
      </c>
      <c r="C34" s="18"/>
      <c r="D34" s="18"/>
      <c r="E34" s="18"/>
      <c r="F34" s="18"/>
      <c r="G34" s="18"/>
      <c r="H34" s="24"/>
      <c r="I34" s="24"/>
      <c r="J34" s="24"/>
    </row>
    <row r="35" spans="2:10" x14ac:dyDescent="0.3">
      <c r="B35" s="10"/>
      <c r="C35" s="16" t="s">
        <v>22</v>
      </c>
      <c r="D35" s="34">
        <f>ABS(D7-C30)/ABS(D7)*100</f>
        <v>5.7793976312526623E-8</v>
      </c>
      <c r="E35" s="34"/>
      <c r="F35" s="34"/>
      <c r="G35" s="27"/>
      <c r="H35" s="25"/>
      <c r="I35" s="33"/>
      <c r="J35" s="33"/>
    </row>
    <row r="36" spans="2:10" x14ac:dyDescent="0.3">
      <c r="B36" s="10"/>
      <c r="C36" s="16"/>
      <c r="D36" s="34"/>
      <c r="E36" s="34"/>
      <c r="F36" s="34"/>
      <c r="G36" s="27"/>
      <c r="H36" s="25"/>
      <c r="I36" s="33"/>
      <c r="J36" s="33"/>
    </row>
    <row r="37" spans="2:10" x14ac:dyDescent="0.3">
      <c r="H37" s="30"/>
      <c r="I37" s="30"/>
      <c r="J37" s="30"/>
    </row>
  </sheetData>
  <mergeCells count="13">
    <mergeCell ref="B11:G12"/>
    <mergeCell ref="B10:G10"/>
    <mergeCell ref="B6:G6"/>
    <mergeCell ref="C7:C8"/>
    <mergeCell ref="D7:F8"/>
    <mergeCell ref="B17:G17"/>
    <mergeCell ref="I17:K20"/>
    <mergeCell ref="B18:G19"/>
    <mergeCell ref="B21:G21"/>
    <mergeCell ref="B22:G23"/>
    <mergeCell ref="C35:C36"/>
    <mergeCell ref="D35:F36"/>
    <mergeCell ref="B34:G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199-6F34-47A3-989D-5ABBEC831617}">
  <dimension ref="A6:O37"/>
  <sheetViews>
    <sheetView topLeftCell="A10" zoomScale="96" zoomScaleNormal="96" workbookViewId="0">
      <selection activeCell="A2" sqref="A2:I12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2" x14ac:dyDescent="0.3">
      <c r="B6" s="15" t="s">
        <v>0</v>
      </c>
      <c r="C6" s="15"/>
      <c r="D6" s="15"/>
      <c r="E6" s="15"/>
      <c r="F6" s="15"/>
      <c r="G6" s="15"/>
      <c r="H6" s="24"/>
      <c r="I6" s="24"/>
      <c r="J6" s="24"/>
    </row>
    <row r="7" spans="2:12" x14ac:dyDescent="0.3">
      <c r="B7" s="10"/>
      <c r="C7" s="13" t="s">
        <v>20</v>
      </c>
      <c r="D7" s="26">
        <v>3.7256021764999998</v>
      </c>
      <c r="E7" s="26"/>
      <c r="F7" s="26"/>
      <c r="G7" s="10"/>
      <c r="I7" s="25"/>
      <c r="J7" s="10"/>
    </row>
    <row r="8" spans="2:12" x14ac:dyDescent="0.3">
      <c r="B8" s="10"/>
      <c r="C8" s="13"/>
      <c r="D8" s="26"/>
      <c r="E8" s="26"/>
      <c r="F8" s="26"/>
      <c r="G8" s="10"/>
      <c r="H8" s="25"/>
      <c r="I8" s="25"/>
      <c r="J8" s="10"/>
    </row>
    <row r="10" spans="2:12" x14ac:dyDescent="0.3">
      <c r="B10" s="15" t="s">
        <v>1</v>
      </c>
      <c r="C10" s="15"/>
      <c r="D10" s="15"/>
      <c r="E10" s="15"/>
      <c r="F10" s="15"/>
      <c r="G10" s="15"/>
    </row>
    <row r="11" spans="2:12" x14ac:dyDescent="0.3">
      <c r="B11" s="14"/>
      <c r="C11" s="14"/>
      <c r="D11" s="14"/>
      <c r="E11" s="14"/>
      <c r="F11" s="14"/>
      <c r="G11" s="14"/>
    </row>
    <row r="12" spans="2:12" x14ac:dyDescent="0.3">
      <c r="B12" s="14"/>
      <c r="C12" s="14"/>
      <c r="D12" s="14"/>
      <c r="E12" s="14"/>
      <c r="F12" s="14"/>
      <c r="G12" s="14"/>
    </row>
    <row r="15" spans="2:12" ht="23.4" x14ac:dyDescent="0.45">
      <c r="B15" s="20" t="s">
        <v>15</v>
      </c>
      <c r="C15" s="20"/>
    </row>
    <row r="16" spans="2:12" x14ac:dyDescent="0.3">
      <c r="I16" s="14"/>
      <c r="J16" s="14"/>
      <c r="K16" s="14"/>
      <c r="L16" s="14"/>
    </row>
    <row r="17" spans="1:15" x14ac:dyDescent="0.3">
      <c r="B17" s="21" t="s">
        <v>3</v>
      </c>
      <c r="C17" s="21"/>
      <c r="D17" s="21"/>
      <c r="E17" s="21"/>
      <c r="F17" s="21"/>
      <c r="G17" s="21"/>
      <c r="I17" s="14"/>
      <c r="J17" s="14"/>
      <c r="K17" s="14"/>
      <c r="L17" s="14"/>
    </row>
    <row r="18" spans="1:15" x14ac:dyDescent="0.3">
      <c r="B18" s="14"/>
      <c r="C18" s="14"/>
      <c r="D18" s="14"/>
      <c r="E18" s="14"/>
      <c r="F18" s="14"/>
      <c r="G18" s="14"/>
      <c r="I18" s="14"/>
      <c r="J18" s="14"/>
      <c r="K18" s="14"/>
      <c r="L18" s="14"/>
    </row>
    <row r="19" spans="1:15" x14ac:dyDescent="0.3">
      <c r="A19" s="1"/>
      <c r="B19" s="14"/>
      <c r="C19" s="14"/>
      <c r="D19" s="14"/>
      <c r="E19" s="14"/>
      <c r="F19" s="14"/>
      <c r="G19" s="14"/>
      <c r="I19" s="14"/>
      <c r="J19" s="14"/>
      <c r="K19" s="14"/>
      <c r="L19" s="14"/>
    </row>
    <row r="20" spans="1:15" x14ac:dyDescent="0.3">
      <c r="A20" s="1"/>
      <c r="B20" s="1"/>
      <c r="C20" s="1"/>
      <c r="D20" s="1"/>
      <c r="E20" s="1"/>
      <c r="F20" s="1"/>
    </row>
    <row r="22" spans="1:15" x14ac:dyDescent="0.3">
      <c r="B22" s="9" t="s">
        <v>4</v>
      </c>
      <c r="C22" s="9" t="s">
        <v>19</v>
      </c>
      <c r="D22" s="9" t="s">
        <v>16</v>
      </c>
      <c r="E22" s="9" t="s">
        <v>10</v>
      </c>
      <c r="F22" s="30"/>
      <c r="G22" s="29"/>
      <c r="H22" s="29"/>
      <c r="I22" s="29"/>
      <c r="J22" s="29"/>
      <c r="K22" s="29"/>
      <c r="L22" s="29"/>
      <c r="M22" s="29"/>
      <c r="N22" s="29"/>
      <c r="O22" s="29"/>
    </row>
    <row r="23" spans="1:15" x14ac:dyDescent="0.3">
      <c r="B23">
        <v>0</v>
      </c>
      <c r="C23">
        <v>3</v>
      </c>
      <c r="D23">
        <f>(COS(C23)^2)-0.5*C23*EXP(0.3*C23)+5</f>
        <v>2.2906804765897588</v>
      </c>
      <c r="E23">
        <v>1E-4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1:15" x14ac:dyDescent="0.3">
      <c r="B24">
        <v>1</v>
      </c>
      <c r="C24">
        <v>4</v>
      </c>
      <c r="D24">
        <f t="shared" ref="D24:D28" si="0">(COS(C24)^2)-0.5*C24*EXP(0.3*C24)+5</f>
        <v>-1.212983862377401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spans="1:15" x14ac:dyDescent="0.3">
      <c r="B25">
        <v>2</v>
      </c>
      <c r="C25">
        <f>C24-((D24*(C24-C23))/(D24-D23))</f>
        <v>3.6537956422118407</v>
      </c>
      <c r="D25">
        <f t="shared" si="0"/>
        <v>0.29265006210311029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1:15" x14ac:dyDescent="0.3">
      <c r="B26">
        <v>3</v>
      </c>
      <c r="C26">
        <f t="shared" ref="C26" si="1">C25-((D25*(C25-C24))/(D25-D24))</f>
        <v>3.7210873823617776</v>
      </c>
      <c r="D26">
        <f t="shared" si="0"/>
        <v>1.8748318639778994E-2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</row>
    <row r="27" spans="1:15" x14ac:dyDescent="0.3">
      <c r="B27">
        <v>4</v>
      </c>
      <c r="C27">
        <f>C26-((D26*(C26-C25))/(D26-D25))</f>
        <v>3.7256934391550054</v>
      </c>
      <c r="D27">
        <f t="shared" si="0"/>
        <v>-3.794474321878738E-4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</row>
    <row r="28" spans="1:15" x14ac:dyDescent="0.3">
      <c r="B28">
        <v>5</v>
      </c>
      <c r="C28" s="6">
        <f>C27-((D27*(C27-C26))/(D27-D26))</f>
        <v>3.7256020664136131</v>
      </c>
      <c r="D28">
        <f t="shared" si="0"/>
        <v>4.5758690347952324E-7</v>
      </c>
      <c r="F28" s="30"/>
      <c r="G28" s="30"/>
      <c r="H28" s="31"/>
      <c r="I28" s="30"/>
      <c r="J28" s="30"/>
      <c r="K28" s="30"/>
      <c r="L28" s="30"/>
      <c r="M28" s="30"/>
      <c r="N28" s="30"/>
      <c r="O28" s="30"/>
    </row>
    <row r="29" spans="1:15" x14ac:dyDescent="0.3">
      <c r="F29" s="30"/>
      <c r="G29" s="30"/>
      <c r="H29" s="30"/>
      <c r="I29" s="30"/>
      <c r="J29" s="30"/>
      <c r="K29" s="30"/>
      <c r="L29" s="30"/>
      <c r="M29" s="31"/>
      <c r="N29" s="30"/>
      <c r="O29" s="30"/>
    </row>
    <row r="30" spans="1:15" x14ac:dyDescent="0.3"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2" spans="1:15" x14ac:dyDescent="0.3">
      <c r="B32" s="21" t="s">
        <v>21</v>
      </c>
      <c r="C32" s="21"/>
      <c r="D32" s="21"/>
      <c r="E32" s="21"/>
      <c r="F32" s="21"/>
      <c r="G32" s="21"/>
      <c r="H32" s="24"/>
      <c r="I32" s="24"/>
      <c r="J32" s="24"/>
    </row>
    <row r="33" spans="2:10" x14ac:dyDescent="0.3">
      <c r="B33" s="10"/>
      <c r="C33" s="16" t="s">
        <v>22</v>
      </c>
      <c r="D33" s="34">
        <f>ABS(D7-C28)/ABS(D7)*100</f>
        <v>2.9548615621816835E-6</v>
      </c>
      <c r="E33" s="34"/>
      <c r="F33" s="34"/>
      <c r="G33" s="27"/>
      <c r="H33" s="25"/>
      <c r="I33" s="33"/>
      <c r="J33" s="33"/>
    </row>
    <row r="34" spans="2:10" x14ac:dyDescent="0.3">
      <c r="B34" s="10"/>
      <c r="C34" s="16"/>
      <c r="D34" s="34"/>
      <c r="E34" s="34"/>
      <c r="F34" s="34"/>
      <c r="G34" s="27"/>
      <c r="H34" s="25"/>
      <c r="I34" s="33"/>
      <c r="J34" s="33"/>
    </row>
    <row r="37" spans="2:10" ht="23.4" x14ac:dyDescent="0.45">
      <c r="B37" s="4"/>
    </row>
  </sheetData>
  <mergeCells count="12">
    <mergeCell ref="B11:G12"/>
    <mergeCell ref="B10:G10"/>
    <mergeCell ref="B6:G6"/>
    <mergeCell ref="C7:C8"/>
    <mergeCell ref="D7:F8"/>
    <mergeCell ref="B15:C15"/>
    <mergeCell ref="I16:L19"/>
    <mergeCell ref="B17:G17"/>
    <mergeCell ref="B18:G19"/>
    <mergeCell ref="B32:G32"/>
    <mergeCell ref="C33:C34"/>
    <mergeCell ref="D33:F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6DEE-50FD-4CB9-97D5-BD81BBC974F2}">
  <dimension ref="B6:O170"/>
  <sheetViews>
    <sheetView topLeftCell="A15" zoomScale="107" zoomScaleNormal="107" workbookViewId="0">
      <selection activeCell="M57" sqref="M57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5" t="s">
        <v>0</v>
      </c>
      <c r="C6" s="15"/>
      <c r="D6" s="15"/>
      <c r="E6" s="15"/>
      <c r="F6" s="15"/>
      <c r="G6" s="15"/>
      <c r="H6" s="24"/>
      <c r="I6" s="24"/>
      <c r="J6" s="24"/>
    </row>
    <row r="7" spans="2:10" x14ac:dyDescent="0.3">
      <c r="B7" s="10"/>
      <c r="C7" s="13" t="s">
        <v>20</v>
      </c>
      <c r="D7" s="26">
        <v>3.7256021764999998</v>
      </c>
      <c r="E7" s="26"/>
      <c r="F7" s="26"/>
      <c r="G7" s="10"/>
      <c r="I7" s="25"/>
      <c r="J7" s="10"/>
    </row>
    <row r="8" spans="2:10" x14ac:dyDescent="0.3">
      <c r="B8" s="10"/>
      <c r="C8" s="13"/>
      <c r="D8" s="26"/>
      <c r="E8" s="26"/>
      <c r="F8" s="26"/>
      <c r="G8" s="10"/>
      <c r="H8" s="25"/>
      <c r="I8" s="25"/>
      <c r="J8" s="10"/>
    </row>
    <row r="10" spans="2:10" x14ac:dyDescent="0.3">
      <c r="B10" s="15" t="s">
        <v>1</v>
      </c>
      <c r="C10" s="15"/>
      <c r="D10" s="15"/>
      <c r="E10" s="15"/>
      <c r="F10" s="15"/>
      <c r="G10" s="15"/>
    </row>
    <row r="11" spans="2:10" x14ac:dyDescent="0.3">
      <c r="B11" s="14"/>
      <c r="C11" s="14"/>
      <c r="D11" s="14"/>
      <c r="E11" s="14"/>
      <c r="F11" s="14"/>
      <c r="G11" s="14"/>
    </row>
    <row r="12" spans="2:10" x14ac:dyDescent="0.3">
      <c r="B12" s="14"/>
      <c r="C12" s="14"/>
      <c r="D12" s="14"/>
      <c r="E12" s="14"/>
      <c r="F12" s="14"/>
      <c r="G12" s="14"/>
    </row>
    <row r="14" spans="2:10" ht="23.4" x14ac:dyDescent="0.45">
      <c r="B14" s="4" t="s">
        <v>18</v>
      </c>
    </row>
    <row r="36" spans="2:2" ht="23.4" x14ac:dyDescent="0.45">
      <c r="B36" s="4" t="s">
        <v>23</v>
      </c>
    </row>
    <row r="55" spans="2:15" x14ac:dyDescent="0.3">
      <c r="C55" s="22" t="s">
        <v>24</v>
      </c>
      <c r="D55" s="22"/>
      <c r="E55" s="22"/>
      <c r="H55" s="23" t="s">
        <v>25</v>
      </c>
      <c r="I55" s="23"/>
      <c r="J55" s="23"/>
      <c r="M55" s="22" t="s">
        <v>26</v>
      </c>
      <c r="N55" s="22"/>
      <c r="O55" s="22"/>
    </row>
    <row r="56" spans="2:15" x14ac:dyDescent="0.3">
      <c r="C56" s="22"/>
      <c r="D56" s="22"/>
      <c r="E56" s="22"/>
      <c r="H56" s="23"/>
      <c r="I56" s="23"/>
      <c r="J56" s="23"/>
      <c r="M56" s="22"/>
      <c r="N56" s="22"/>
      <c r="O56" s="22"/>
    </row>
    <row r="58" spans="2:15" s="30" customFormat="1" x14ac:dyDescent="0.3"/>
    <row r="59" spans="2:15" s="30" customFormat="1" ht="23.4" x14ac:dyDescent="0.45">
      <c r="B59" s="35"/>
    </row>
    <row r="60" spans="2:15" s="30" customFormat="1" x14ac:dyDescent="0.3"/>
    <row r="61" spans="2:15" s="30" customFormat="1" x14ac:dyDescent="0.3"/>
    <row r="62" spans="2:15" s="30" customFormat="1" x14ac:dyDescent="0.3"/>
    <row r="63" spans="2:15" s="30" customFormat="1" x14ac:dyDescent="0.3"/>
    <row r="64" spans="2:15" s="30" customFormat="1" x14ac:dyDescent="0.3"/>
    <row r="65" spans="3:15" s="30" customFormat="1" x14ac:dyDescent="0.3"/>
    <row r="66" spans="3:15" s="30" customFormat="1" x14ac:dyDescent="0.3"/>
    <row r="67" spans="3:15" s="30" customFormat="1" x14ac:dyDescent="0.3"/>
    <row r="68" spans="3:15" s="30" customFormat="1" x14ac:dyDescent="0.3"/>
    <row r="69" spans="3:15" s="30" customFormat="1" x14ac:dyDescent="0.3"/>
    <row r="70" spans="3:15" s="30" customFormat="1" x14ac:dyDescent="0.3"/>
    <row r="71" spans="3:15" s="30" customFormat="1" x14ac:dyDescent="0.3"/>
    <row r="72" spans="3:15" s="30" customFormat="1" x14ac:dyDescent="0.3"/>
    <row r="73" spans="3:15" s="30" customFormat="1" x14ac:dyDescent="0.3"/>
    <row r="74" spans="3:15" s="30" customFormat="1" x14ac:dyDescent="0.3"/>
    <row r="75" spans="3:15" s="30" customFormat="1" x14ac:dyDescent="0.3"/>
    <row r="76" spans="3:15" s="30" customFormat="1" x14ac:dyDescent="0.3"/>
    <row r="77" spans="3:15" s="30" customFormat="1" x14ac:dyDescent="0.3"/>
    <row r="78" spans="3:15" s="30" customFormat="1" ht="14.4" customHeight="1" x14ac:dyDescent="0.3">
      <c r="C78" s="36"/>
      <c r="D78" s="36"/>
      <c r="E78" s="36"/>
      <c r="H78" s="37"/>
      <c r="I78" s="37"/>
      <c r="J78" s="37"/>
      <c r="M78" s="36"/>
      <c r="N78" s="36"/>
      <c r="O78" s="36"/>
    </row>
    <row r="79" spans="3:15" s="30" customFormat="1" x14ac:dyDescent="0.3">
      <c r="C79" s="36"/>
      <c r="D79" s="36"/>
      <c r="E79" s="36"/>
      <c r="H79" s="37"/>
      <c r="I79" s="37"/>
      <c r="J79" s="37"/>
      <c r="M79" s="36"/>
      <c r="N79" s="36"/>
      <c r="O79" s="36"/>
    </row>
    <row r="80" spans="3:15" s="30" customFormat="1" x14ac:dyDescent="0.3"/>
    <row r="81" spans="2:2" s="30" customFormat="1" x14ac:dyDescent="0.3"/>
    <row r="82" spans="2:2" s="30" customFormat="1" ht="23.4" x14ac:dyDescent="0.45">
      <c r="B82" s="35"/>
    </row>
    <row r="83" spans="2:2" s="30" customFormat="1" x14ac:dyDescent="0.3"/>
    <row r="84" spans="2:2" s="30" customFormat="1" x14ac:dyDescent="0.3"/>
    <row r="85" spans="2:2" s="30" customFormat="1" x14ac:dyDescent="0.3"/>
    <row r="86" spans="2:2" s="30" customFormat="1" x14ac:dyDescent="0.3"/>
    <row r="87" spans="2:2" s="30" customFormat="1" x14ac:dyDescent="0.3"/>
    <row r="88" spans="2:2" s="30" customFormat="1" x14ac:dyDescent="0.3"/>
    <row r="89" spans="2:2" s="30" customFormat="1" x14ac:dyDescent="0.3"/>
    <row r="90" spans="2:2" s="30" customFormat="1" x14ac:dyDescent="0.3"/>
    <row r="91" spans="2:2" s="30" customFormat="1" x14ac:dyDescent="0.3"/>
    <row r="92" spans="2:2" s="30" customFormat="1" x14ac:dyDescent="0.3"/>
    <row r="93" spans="2:2" s="30" customFormat="1" x14ac:dyDescent="0.3"/>
    <row r="94" spans="2:2" s="30" customFormat="1" x14ac:dyDescent="0.3"/>
    <row r="95" spans="2:2" s="30" customFormat="1" x14ac:dyDescent="0.3"/>
    <row r="96" spans="2:2" s="30" customFormat="1" x14ac:dyDescent="0.3"/>
    <row r="97" spans="3:15" s="30" customFormat="1" x14ac:dyDescent="0.3"/>
    <row r="98" spans="3:15" s="30" customFormat="1" x14ac:dyDescent="0.3"/>
    <row r="99" spans="3:15" s="30" customFormat="1" x14ac:dyDescent="0.3"/>
    <row r="100" spans="3:15" s="30" customFormat="1" ht="14.4" customHeight="1" x14ac:dyDescent="0.3"/>
    <row r="101" spans="3:15" s="30" customFormat="1" ht="14.4" customHeight="1" x14ac:dyDescent="0.3">
      <c r="C101" s="36"/>
      <c r="D101" s="36"/>
      <c r="E101" s="36"/>
      <c r="H101" s="37"/>
      <c r="I101" s="37"/>
      <c r="J101" s="37"/>
      <c r="M101" s="36"/>
      <c r="N101" s="36"/>
      <c r="O101" s="36"/>
    </row>
    <row r="102" spans="3:15" s="30" customFormat="1" x14ac:dyDescent="0.3">
      <c r="C102" s="36"/>
      <c r="D102" s="36"/>
      <c r="E102" s="36"/>
      <c r="H102" s="37"/>
      <c r="I102" s="37"/>
      <c r="J102" s="37"/>
      <c r="M102" s="36"/>
      <c r="N102" s="36"/>
      <c r="O102" s="36"/>
    </row>
    <row r="103" spans="3:15" s="30" customFormat="1" x14ac:dyDescent="0.3"/>
    <row r="104" spans="3:15" s="30" customFormat="1" x14ac:dyDescent="0.3"/>
    <row r="105" spans="3:15" s="30" customFormat="1" x14ac:dyDescent="0.3"/>
    <row r="106" spans="3:15" s="30" customFormat="1" x14ac:dyDescent="0.3"/>
    <row r="107" spans="3:15" s="30" customFormat="1" x14ac:dyDescent="0.3"/>
    <row r="108" spans="3:15" s="30" customFormat="1" x14ac:dyDescent="0.3"/>
    <row r="109" spans="3:15" s="30" customFormat="1" x14ac:dyDescent="0.3"/>
    <row r="110" spans="3:15" s="30" customFormat="1" x14ac:dyDescent="0.3"/>
    <row r="111" spans="3:15" s="30" customFormat="1" x14ac:dyDescent="0.3"/>
    <row r="112" spans="3:15" s="30" customFormat="1" x14ac:dyDescent="0.3"/>
    <row r="113" s="30" customFormat="1" x14ac:dyDescent="0.3"/>
    <row r="114" s="30" customFormat="1" x14ac:dyDescent="0.3"/>
    <row r="115" s="30" customFormat="1" x14ac:dyDescent="0.3"/>
    <row r="116" s="30" customFormat="1" x14ac:dyDescent="0.3"/>
    <row r="117" s="30" customFormat="1" x14ac:dyDescent="0.3"/>
    <row r="118" s="30" customFormat="1" x14ac:dyDescent="0.3"/>
    <row r="119" s="30" customFormat="1" x14ac:dyDescent="0.3"/>
    <row r="120" s="30" customFormat="1" x14ac:dyDescent="0.3"/>
    <row r="121" s="30" customFormat="1" x14ac:dyDescent="0.3"/>
    <row r="122" s="30" customFormat="1" x14ac:dyDescent="0.3"/>
    <row r="123" s="30" customFormat="1" x14ac:dyDescent="0.3"/>
    <row r="124" s="30" customFormat="1" x14ac:dyDescent="0.3"/>
    <row r="125" s="30" customFormat="1" x14ac:dyDescent="0.3"/>
    <row r="126" s="30" customFormat="1" x14ac:dyDescent="0.3"/>
    <row r="127" s="30" customFormat="1" x14ac:dyDescent="0.3"/>
    <row r="128" s="30" customFormat="1" x14ac:dyDescent="0.3"/>
    <row r="129" s="30" customFormat="1" x14ac:dyDescent="0.3"/>
    <row r="130" s="30" customFormat="1" x14ac:dyDescent="0.3"/>
    <row r="131" s="30" customFormat="1" x14ac:dyDescent="0.3"/>
    <row r="132" s="30" customFormat="1" x14ac:dyDescent="0.3"/>
    <row r="133" s="30" customFormat="1" x14ac:dyDescent="0.3"/>
    <row r="134" s="30" customFormat="1" x14ac:dyDescent="0.3"/>
    <row r="135" s="30" customFormat="1" x14ac:dyDescent="0.3"/>
    <row r="136" s="30" customFormat="1" x14ac:dyDescent="0.3"/>
    <row r="137" s="30" customFormat="1" x14ac:dyDescent="0.3"/>
    <row r="138" s="30" customFormat="1" x14ac:dyDescent="0.3"/>
    <row r="139" s="30" customFormat="1" x14ac:dyDescent="0.3"/>
    <row r="140" s="30" customFormat="1" x14ac:dyDescent="0.3"/>
    <row r="141" s="30" customFormat="1" x14ac:dyDescent="0.3"/>
    <row r="142" s="30" customFormat="1" x14ac:dyDescent="0.3"/>
    <row r="143" s="30" customFormat="1" x14ac:dyDescent="0.3"/>
    <row r="144" s="30" customFormat="1" x14ac:dyDescent="0.3"/>
    <row r="145" s="30" customFormat="1" x14ac:dyDescent="0.3"/>
    <row r="146" s="30" customFormat="1" x14ac:dyDescent="0.3"/>
    <row r="147" s="30" customFormat="1" x14ac:dyDescent="0.3"/>
    <row r="148" s="30" customFormat="1" x14ac:dyDescent="0.3"/>
    <row r="149" s="30" customFormat="1" x14ac:dyDescent="0.3"/>
    <row r="150" s="30" customFormat="1" x14ac:dyDescent="0.3"/>
    <row r="151" s="30" customFormat="1" x14ac:dyDescent="0.3"/>
    <row r="152" s="30" customFormat="1" x14ac:dyDescent="0.3"/>
    <row r="153" s="30" customFormat="1" x14ac:dyDescent="0.3"/>
    <row r="154" s="30" customFormat="1" x14ac:dyDescent="0.3"/>
    <row r="155" s="30" customFormat="1" x14ac:dyDescent="0.3"/>
    <row r="156" s="30" customFormat="1" x14ac:dyDescent="0.3"/>
    <row r="157" s="30" customFormat="1" x14ac:dyDescent="0.3"/>
    <row r="158" s="30" customFormat="1" x14ac:dyDescent="0.3"/>
    <row r="159" s="30" customFormat="1" x14ac:dyDescent="0.3"/>
    <row r="160" s="30" customFormat="1" x14ac:dyDescent="0.3"/>
    <row r="161" s="30" customFormat="1" x14ac:dyDescent="0.3"/>
    <row r="162" s="30" customFormat="1" x14ac:dyDescent="0.3"/>
    <row r="163" s="30" customFormat="1" x14ac:dyDescent="0.3"/>
    <row r="164" s="30" customFormat="1" x14ac:dyDescent="0.3"/>
    <row r="165" s="30" customFormat="1" x14ac:dyDescent="0.3"/>
    <row r="166" s="30" customFormat="1" x14ac:dyDescent="0.3"/>
    <row r="167" s="30" customFormat="1" x14ac:dyDescent="0.3"/>
    <row r="168" s="30" customFormat="1" x14ac:dyDescent="0.3"/>
    <row r="169" s="30" customFormat="1" x14ac:dyDescent="0.3"/>
    <row r="170" s="30" customFormat="1" x14ac:dyDescent="0.3"/>
  </sheetData>
  <mergeCells count="8">
    <mergeCell ref="M55:O56"/>
    <mergeCell ref="C55:E56"/>
    <mergeCell ref="H55:J56"/>
    <mergeCell ref="B11:G12"/>
    <mergeCell ref="B10:G10"/>
    <mergeCell ref="B6:G6"/>
    <mergeCell ref="C7:C8"/>
    <mergeCell ref="D7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EJ4_BISECCION</vt:lpstr>
      <vt:lpstr>EJ4_NEWTON</vt:lpstr>
      <vt:lpstr>EJ4_SECANTE</vt:lpstr>
      <vt:lpstr>EJ4_GRAFICOS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2025-11-20T01:41:21Z</dcterms:created>
  <dcterms:modified xsi:type="dcterms:W3CDTF">2025-11-22T22:25:09Z</dcterms:modified>
</cp:coreProperties>
</file>