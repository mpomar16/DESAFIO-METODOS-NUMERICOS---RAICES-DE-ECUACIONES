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raices\ejercicio2\"/>
    </mc:Choice>
  </mc:AlternateContent>
  <xr:revisionPtr revIDLastSave="0" documentId="13_ncr:1_{01EF2DD5-41BF-4C76-B4D7-E569D369D03F}" xr6:coauthVersionLast="47" xr6:coauthVersionMax="47" xr10:uidLastSave="{00000000-0000-0000-0000-000000000000}"/>
  <bookViews>
    <workbookView xWindow="-108" yWindow="-108" windowWidth="23256" windowHeight="12456" activeTab="3" xr2:uid="{9B82493B-48CC-4ECE-B3A9-CD54E9735952}"/>
  </bookViews>
  <sheets>
    <sheet name="EJ2_BISECCION" sheetId="1" r:id="rId1"/>
    <sheet name="EJ2_NEWTON" sheetId="3" r:id="rId2"/>
    <sheet name="EJ2_SECANTE" sheetId="5" r:id="rId3"/>
    <sheet name="EJ2_GRAFICOS" sheetId="6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8" i="1" l="1"/>
  <c r="C25" i="5" l="1"/>
  <c r="D31" i="5"/>
  <c r="D24" i="5"/>
  <c r="D23" i="5"/>
  <c r="D33" i="3"/>
  <c r="E27" i="3" l="1"/>
  <c r="D27" i="3"/>
  <c r="C28" i="3" s="1"/>
  <c r="G22" i="1"/>
  <c r="F22" i="1"/>
  <c r="E22" i="1"/>
  <c r="H22" i="1" s="1"/>
  <c r="D23" i="1" s="1"/>
  <c r="E28" i="3" l="1"/>
  <c r="D28" i="3"/>
  <c r="C29" i="3" s="1"/>
  <c r="G23" i="1"/>
  <c r="C23" i="1"/>
  <c r="F23" i="1" s="1"/>
  <c r="D25" i="5" l="1"/>
  <c r="C26" i="5" s="1"/>
  <c r="E29" i="3"/>
  <c r="D29" i="3"/>
  <c r="D24" i="1"/>
  <c r="G24" i="1" s="1"/>
  <c r="E23" i="1"/>
  <c r="H23" i="1" s="1"/>
  <c r="C24" i="1" s="1"/>
  <c r="D26" i="5" l="1"/>
  <c r="C27" i="5" s="1"/>
  <c r="D27" i="5" s="1"/>
  <c r="F24" i="1"/>
  <c r="E24" i="1"/>
  <c r="H24" i="1" s="1"/>
  <c r="D25" i="1" l="1"/>
  <c r="G25" i="1" s="1"/>
  <c r="C25" i="1"/>
  <c r="F25" i="1" l="1"/>
  <c r="E25" i="1"/>
  <c r="H25" i="1" s="1"/>
  <c r="C26" i="1" l="1"/>
  <c r="D26" i="1"/>
  <c r="G26" i="1" s="1"/>
  <c r="E26" i="1" l="1"/>
  <c r="H26" i="1" s="1"/>
  <c r="F26" i="1"/>
  <c r="C27" i="1" l="1"/>
  <c r="D27" i="1"/>
  <c r="G27" i="1" s="1"/>
  <c r="E27" i="1" l="1"/>
  <c r="H27" i="1" s="1"/>
  <c r="F27" i="1"/>
  <c r="C28" i="1" l="1"/>
  <c r="D28" i="1"/>
  <c r="G28" i="1" s="1"/>
  <c r="E28" i="1" l="1"/>
  <c r="H28" i="1" s="1"/>
  <c r="F28" i="1"/>
  <c r="C29" i="1" l="1"/>
  <c r="D29" i="1"/>
  <c r="G29" i="1" s="1"/>
  <c r="E29" i="1" l="1"/>
  <c r="H29" i="1" s="1"/>
  <c r="F29" i="1"/>
  <c r="C30" i="1" l="1"/>
  <c r="D30" i="1"/>
  <c r="G30" i="1" s="1"/>
  <c r="E30" i="1" l="1"/>
  <c r="H30" i="1" s="1"/>
  <c r="F30" i="1"/>
  <c r="C31" i="1" l="1"/>
  <c r="D31" i="1"/>
  <c r="G31" i="1" s="1"/>
  <c r="E31" i="1" l="1"/>
  <c r="H31" i="1" s="1"/>
  <c r="F31" i="1"/>
  <c r="C32" i="1" l="1"/>
  <c r="D32" i="1"/>
  <c r="G32" i="1" s="1"/>
  <c r="E32" i="1" l="1"/>
  <c r="H32" i="1" s="1"/>
  <c r="F32" i="1"/>
  <c r="C33" i="1" l="1"/>
  <c r="D33" i="1"/>
  <c r="G33" i="1" s="1"/>
  <c r="F33" i="1" l="1"/>
  <c r="E33" i="1"/>
  <c r="H33" i="1" s="1"/>
  <c r="D34" i="1" s="1"/>
  <c r="G34" i="1" s="1"/>
  <c r="C34" i="1" l="1"/>
  <c r="F34" i="1" l="1"/>
  <c r="E34" i="1"/>
  <c r="H34" i="1" s="1"/>
</calcChain>
</file>

<file path=xl/sharedStrings.xml><?xml version="1.0" encoding="utf-8"?>
<sst xmlns="http://schemas.openxmlformats.org/spreadsheetml/2006/main" count="47" uniqueCount="28">
  <si>
    <t>SOLUCION EXACTA:</t>
  </si>
  <si>
    <t>FUNCION:</t>
  </si>
  <si>
    <t>BISECCION</t>
  </si>
  <si>
    <t>INTERVALO INICIAL:</t>
  </si>
  <si>
    <t>#</t>
  </si>
  <si>
    <t>a</t>
  </si>
  <si>
    <t>b</t>
  </si>
  <si>
    <t>f(a)</t>
  </si>
  <si>
    <t>f(b)</t>
  </si>
  <si>
    <t>f(m)</t>
  </si>
  <si>
    <t>tol</t>
  </si>
  <si>
    <t>m</t>
  </si>
  <si>
    <t>ERROR RELATIVO % PARA x1 y x2</t>
  </si>
  <si>
    <t>Newton-Raphson</t>
  </si>
  <si>
    <t>VALOR INICIAL:</t>
  </si>
  <si>
    <t>DERIVADA:</t>
  </si>
  <si>
    <t>Secante</t>
  </si>
  <si>
    <t>x</t>
  </si>
  <si>
    <t>f(x)</t>
  </si>
  <si>
    <t>f'(x)</t>
  </si>
  <si>
    <t>x=</t>
  </si>
  <si>
    <t>ERROR RELATIVO % PARA x</t>
  </si>
  <si>
    <t>error_x=</t>
  </si>
  <si>
    <t>COMPARACION ENTRE METODOS - APROXIMACION x</t>
  </si>
  <si>
    <t>GRAFICO DE LA FUNCION</t>
  </si>
  <si>
    <t>En biseccion se necesito de 12 iteraciones y el error fue aprox  0,005%</t>
  </si>
  <si>
    <t>En biseccion se necesito de 2 iteraciones y el error fue aprox  0,0008%</t>
  </si>
  <si>
    <t>En biseccion se necesito de 4 iteraciones y el error fue aprox  0,0002%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</si>
</sst>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0E+00"/>
    <numFmt numFmtId="166" formatCode="0.0000000%"/>
    <numFmt numFmtId="167" formatCode="0.00000000%"/>
    <numFmt numFmtId="181" formatCode="0.0000000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7B3E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2" fillId="3" borderId="0" xfId="0" applyFont="1" applyFill="1" applyAlignment="1">
      <alignment horizontal="center"/>
    </xf>
    <xf numFmtId="0" fontId="0" fillId="4" borderId="0" xfId="0" applyFill="1"/>
    <xf numFmtId="0" fontId="2" fillId="5" borderId="0" xfId="0" applyFont="1" applyFill="1"/>
    <xf numFmtId="164" fontId="0" fillId="0" borderId="0" xfId="0" applyNumberFormat="1"/>
    <xf numFmtId="0" fontId="2" fillId="6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0" fillId="0" borderId="0" xfId="0" applyAlignment="1">
      <alignment vertical="center"/>
    </xf>
    <xf numFmtId="167" fontId="0" fillId="0" borderId="0" xfId="0" applyNumberFormat="1" applyAlignment="1">
      <alignment vertical="center"/>
    </xf>
    <xf numFmtId="167" fontId="0" fillId="0" borderId="0" xfId="1" applyNumberFormat="1" applyFont="1" applyFill="1" applyAlignment="1">
      <alignment vertical="center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6" borderId="0" xfId="0" applyFont="1" applyFill="1" applyAlignment="1">
      <alignment horizontal="center"/>
    </xf>
    <xf numFmtId="167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7" borderId="0" xfId="0" applyFont="1" applyFill="1" applyAlignment="1">
      <alignment horizontal="center"/>
    </xf>
    <xf numFmtId="0" fontId="0" fillId="4" borderId="0" xfId="0" applyFill="1" applyAlignment="1">
      <alignment horizontal="center" wrapText="1"/>
    </xf>
    <xf numFmtId="0" fontId="4" fillId="4" borderId="0" xfId="0" applyFont="1" applyFill="1" applyAlignment="1">
      <alignment horizontal="center" wrapText="1"/>
    </xf>
    <xf numFmtId="181" fontId="0" fillId="0" borderId="0" xfId="0" applyNumberFormat="1"/>
    <xf numFmtId="181" fontId="0" fillId="0" borderId="0" xfId="0" applyNumberFormat="1" applyAlignment="1">
      <alignment horizontal="center" vertical="center"/>
    </xf>
    <xf numFmtId="0" fontId="2" fillId="0" borderId="0" xfId="0" applyFont="1" applyFill="1" applyAlignment="1">
      <alignment horizontal="center"/>
    </xf>
    <xf numFmtId="0" fontId="0" fillId="0" borderId="0" xfId="0" applyFill="1"/>
    <xf numFmtId="0" fontId="2" fillId="0" borderId="0" xfId="0" applyFont="1" applyFill="1"/>
    <xf numFmtId="166" fontId="0" fillId="0" borderId="0" xfId="1" applyNumberFormat="1" applyFont="1" applyAlignment="1">
      <alignment vertical="center"/>
    </xf>
    <xf numFmtId="166" fontId="0" fillId="0" borderId="0" xfId="0" applyNumberFormat="1" applyAlignment="1">
      <alignment horizontal="center" vertical="center"/>
    </xf>
    <xf numFmtId="167" fontId="0" fillId="0" borderId="0" xfId="1" applyNumberFormat="1" applyFont="1" applyAlignment="1">
      <alignment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F7B3E5"/>
      <color rgb="FFFF9999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1.png"/><Relationship Id="rId1" Type="http://schemas.openxmlformats.org/officeDocument/2006/relationships/image" Target="../media/image5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1.png"/><Relationship Id="rId1" Type="http://schemas.openxmlformats.org/officeDocument/2006/relationships/image" Target="../media/image8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3.png"/><Relationship Id="rId1" Type="http://schemas.openxmlformats.org/officeDocument/2006/relationships/image" Target="../media/image1.png"/><Relationship Id="rId6" Type="http://schemas.openxmlformats.org/officeDocument/2006/relationships/image" Target="../media/image12.png"/><Relationship Id="rId5" Type="http://schemas.openxmlformats.org/officeDocument/2006/relationships/image" Target="../media/image11.png"/><Relationship Id="rId4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793327</xdr:colOff>
      <xdr:row>1</xdr:row>
      <xdr:rowOff>126999</xdr:rowOff>
    </xdr:from>
    <xdr:to>
      <xdr:col>7</xdr:col>
      <xdr:colOff>519575</xdr:colOff>
      <xdr:row>3</xdr:row>
      <xdr:rowOff>169333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7DA282D-D337-DABC-CF1D-6351E678291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38" t="46440" r="3413" b="36189"/>
        <a:stretch>
          <a:fillRect/>
        </a:stretch>
      </xdr:blipFill>
      <xdr:spPr bwMode="auto">
        <a:xfrm>
          <a:off x="793327" y="313266"/>
          <a:ext cx="5500515" cy="414867"/>
        </a:xfrm>
        <a:prstGeom prst="rect">
          <a:avLst/>
        </a:prstGeom>
        <a:noFill/>
        <a:ln>
          <a:solidFill>
            <a:schemeClr val="accent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319424</xdr:colOff>
      <xdr:row>15</xdr:row>
      <xdr:rowOff>56335</xdr:rowOff>
    </xdr:from>
    <xdr:to>
      <xdr:col>9</xdr:col>
      <xdr:colOff>307588</xdr:colOff>
      <xdr:row>17</xdr:row>
      <xdr:rowOff>148699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91D0AC65-46B6-569F-54F7-EC1765E1AC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69381" y="2966526"/>
          <a:ext cx="945994" cy="465258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381001</xdr:colOff>
      <xdr:row>10</xdr:row>
      <xdr:rowOff>59267</xdr:rowOff>
    </xdr:from>
    <xdr:to>
      <xdr:col>5</xdr:col>
      <xdr:colOff>559090</xdr:colOff>
      <xdr:row>11</xdr:row>
      <xdr:rowOff>135467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FCD8171E-ADD8-EEF8-06EC-C84E4A267D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72734" y="1921934"/>
          <a:ext cx="2760423" cy="262466"/>
        </a:xfrm>
        <a:prstGeom prst="rect">
          <a:avLst/>
        </a:prstGeom>
      </xdr:spPr>
    </xdr:pic>
    <xdr:clientData/>
  </xdr:twoCellAnchor>
  <xdr:twoCellAnchor editAs="oneCell">
    <xdr:from>
      <xdr:col>3</xdr:col>
      <xdr:colOff>101600</xdr:colOff>
      <xdr:row>16</xdr:row>
      <xdr:rowOff>50802</xdr:rowOff>
    </xdr:from>
    <xdr:to>
      <xdr:col>4</xdr:col>
      <xdr:colOff>524349</xdr:colOff>
      <xdr:row>17</xdr:row>
      <xdr:rowOff>152401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E1FB0B8F-8FB5-19B4-63F4-00B84675EA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573867" y="3141135"/>
          <a:ext cx="1320215" cy="28786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255739</xdr:colOff>
      <xdr:row>16</xdr:row>
      <xdr:rowOff>62146</xdr:rowOff>
    </xdr:from>
    <xdr:to>
      <xdr:col>10</xdr:col>
      <xdr:colOff>421408</xdr:colOff>
      <xdr:row>19</xdr:row>
      <xdr:rowOff>125456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3595A335-0A38-49F6-AF3F-B4DE5D7C12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24179" y="9068986"/>
          <a:ext cx="1880169" cy="611950"/>
        </a:xfrm>
        <a:prstGeom prst="rect">
          <a:avLst/>
        </a:prstGeom>
      </xdr:spPr>
    </xdr:pic>
    <xdr:clientData/>
  </xdr:twoCellAnchor>
  <xdr:twoCellAnchor editAs="oneCell">
    <xdr:from>
      <xdr:col>0</xdr:col>
      <xdr:colOff>793327</xdr:colOff>
      <xdr:row>1</xdr:row>
      <xdr:rowOff>126999</xdr:rowOff>
    </xdr:from>
    <xdr:to>
      <xdr:col>7</xdr:col>
      <xdr:colOff>519575</xdr:colOff>
      <xdr:row>3</xdr:row>
      <xdr:rowOff>169333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71C0E77-07A2-47FD-B6A0-D91D09678B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38" t="46440" r="3413" b="36189"/>
        <a:stretch>
          <a:fillRect/>
        </a:stretch>
      </xdr:blipFill>
      <xdr:spPr bwMode="auto">
        <a:xfrm>
          <a:off x="793327" y="309879"/>
          <a:ext cx="5494588" cy="408094"/>
        </a:xfrm>
        <a:prstGeom prst="rect">
          <a:avLst/>
        </a:prstGeom>
        <a:noFill/>
        <a:ln>
          <a:solidFill>
            <a:schemeClr val="accent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381001</xdr:colOff>
      <xdr:row>10</xdr:row>
      <xdr:rowOff>59267</xdr:rowOff>
    </xdr:from>
    <xdr:to>
      <xdr:col>5</xdr:col>
      <xdr:colOff>559090</xdr:colOff>
      <xdr:row>11</xdr:row>
      <xdr:rowOff>135467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4B5241B1-1474-4AAF-8FCD-6647DA172C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65961" y="1888067"/>
          <a:ext cx="2761269" cy="259080"/>
        </a:xfrm>
        <a:prstGeom prst="rect">
          <a:avLst/>
        </a:prstGeom>
      </xdr:spPr>
    </xdr:pic>
    <xdr:clientData/>
  </xdr:twoCellAnchor>
  <xdr:twoCellAnchor editAs="oneCell">
    <xdr:from>
      <xdr:col>3</xdr:col>
      <xdr:colOff>325436</xdr:colOff>
      <xdr:row>17</xdr:row>
      <xdr:rowOff>55563</xdr:rowOff>
    </xdr:from>
    <xdr:to>
      <xdr:col>4</xdr:col>
      <xdr:colOff>295953</xdr:colOff>
      <xdr:row>18</xdr:row>
      <xdr:rowOff>142876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68A3D924-7FED-417B-E088-6C256D209F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786061" y="3270251"/>
          <a:ext cx="867455" cy="269875"/>
        </a:xfrm>
        <a:prstGeom prst="rect">
          <a:avLst/>
        </a:prstGeom>
      </xdr:spPr>
    </xdr:pic>
    <xdr:clientData/>
  </xdr:twoCellAnchor>
  <xdr:twoCellAnchor editAs="oneCell">
    <xdr:from>
      <xdr:col>2</xdr:col>
      <xdr:colOff>468312</xdr:colOff>
      <xdr:row>21</xdr:row>
      <xdr:rowOff>71437</xdr:rowOff>
    </xdr:from>
    <xdr:to>
      <xdr:col>5</xdr:col>
      <xdr:colOff>614772</xdr:colOff>
      <xdr:row>23</xdr:row>
      <xdr:rowOff>15874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1317D28F-87C8-EB26-1904-31A334C456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055812" y="4016375"/>
          <a:ext cx="2726148" cy="30956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790990</xdr:colOff>
      <xdr:row>15</xdr:row>
      <xdr:rowOff>97275</xdr:rowOff>
    </xdr:from>
    <xdr:to>
      <xdr:col>11</xdr:col>
      <xdr:colOff>565944</xdr:colOff>
      <xdr:row>18</xdr:row>
      <xdr:rowOff>65813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397B393F-1E4D-45D9-8207-FF96D72FA8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59330" y="13241775"/>
          <a:ext cx="3097274" cy="517177"/>
        </a:xfrm>
        <a:prstGeom prst="rect">
          <a:avLst/>
        </a:prstGeom>
      </xdr:spPr>
    </xdr:pic>
    <xdr:clientData/>
  </xdr:twoCellAnchor>
  <xdr:twoCellAnchor editAs="oneCell">
    <xdr:from>
      <xdr:col>0</xdr:col>
      <xdr:colOff>793327</xdr:colOff>
      <xdr:row>1</xdr:row>
      <xdr:rowOff>126999</xdr:rowOff>
    </xdr:from>
    <xdr:to>
      <xdr:col>7</xdr:col>
      <xdr:colOff>519575</xdr:colOff>
      <xdr:row>3</xdr:row>
      <xdr:rowOff>169333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B9EAE58-5C71-4587-8C5E-A083B570496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38" t="46440" r="3413" b="36189"/>
        <a:stretch>
          <a:fillRect/>
        </a:stretch>
      </xdr:blipFill>
      <xdr:spPr bwMode="auto">
        <a:xfrm>
          <a:off x="793327" y="309879"/>
          <a:ext cx="5494588" cy="408094"/>
        </a:xfrm>
        <a:prstGeom prst="rect">
          <a:avLst/>
        </a:prstGeom>
        <a:noFill/>
        <a:ln>
          <a:solidFill>
            <a:schemeClr val="accent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381001</xdr:colOff>
      <xdr:row>10</xdr:row>
      <xdr:rowOff>59267</xdr:rowOff>
    </xdr:from>
    <xdr:to>
      <xdr:col>5</xdr:col>
      <xdr:colOff>559090</xdr:colOff>
      <xdr:row>11</xdr:row>
      <xdr:rowOff>135467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7152B56A-11B0-428D-8B8A-032CD41675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65961" y="1888067"/>
          <a:ext cx="2761269" cy="25908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17</xdr:row>
      <xdr:rowOff>63499</xdr:rowOff>
    </xdr:from>
    <xdr:to>
      <xdr:col>4</xdr:col>
      <xdr:colOff>423277</xdr:colOff>
      <xdr:row>18</xdr:row>
      <xdr:rowOff>168803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3144D786-B5FA-4AAA-B9E2-8AA3ABF558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460625" y="3278187"/>
          <a:ext cx="1320215" cy="28786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745173</xdr:colOff>
      <xdr:row>1</xdr:row>
      <xdr:rowOff>15874</xdr:rowOff>
    </xdr:from>
    <xdr:to>
      <xdr:col>7</xdr:col>
      <xdr:colOff>473538</xdr:colOff>
      <xdr:row>4</xdr:row>
      <xdr:rowOff>7936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8D327F2-5A6A-462E-92CA-1F7EF9B4D52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26" t="44078" r="3925" b="32866"/>
        <a:stretch>
          <a:fillRect/>
        </a:stretch>
      </xdr:blipFill>
      <xdr:spPr bwMode="auto">
        <a:xfrm>
          <a:off x="745173" y="198437"/>
          <a:ext cx="5498928" cy="539749"/>
        </a:xfrm>
        <a:prstGeom prst="rect">
          <a:avLst/>
        </a:prstGeom>
        <a:noFill/>
        <a:ln>
          <a:solidFill>
            <a:schemeClr val="accent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182562</xdr:colOff>
      <xdr:row>10</xdr:row>
      <xdr:rowOff>55563</xdr:rowOff>
    </xdr:from>
    <xdr:to>
      <xdr:col>5</xdr:col>
      <xdr:colOff>360651</xdr:colOff>
      <xdr:row>11</xdr:row>
      <xdr:rowOff>131763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7A05681E-9EA5-42C7-A71D-BD13803B0E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70062" y="1881188"/>
          <a:ext cx="2757777" cy="258763"/>
        </a:xfrm>
        <a:prstGeom prst="rect">
          <a:avLst/>
        </a:prstGeom>
      </xdr:spPr>
    </xdr:pic>
    <xdr:clientData/>
  </xdr:twoCellAnchor>
  <xdr:twoCellAnchor editAs="oneCell">
    <xdr:from>
      <xdr:col>1</xdr:col>
      <xdr:colOff>222250</xdr:colOff>
      <xdr:row>14</xdr:row>
      <xdr:rowOff>163237</xdr:rowOff>
    </xdr:from>
    <xdr:to>
      <xdr:col>7</xdr:col>
      <xdr:colOff>10502</xdr:colOff>
      <xdr:row>33</xdr:row>
      <xdr:rowOff>175369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839F1531-A585-5BC3-C61B-EEDC65837C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16000" y="2941362"/>
          <a:ext cx="4773002" cy="3631632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254000</xdr:colOff>
      <xdr:row>37</xdr:row>
      <xdr:rowOff>72584</xdr:rowOff>
    </xdr:from>
    <xdr:to>
      <xdr:col>5</xdr:col>
      <xdr:colOff>639141</xdr:colOff>
      <xdr:row>52</xdr:row>
      <xdr:rowOff>178560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7BA7B4BA-2092-95EE-8E3F-C05F410F6E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47750" y="7343334"/>
          <a:ext cx="3766516" cy="2963476"/>
        </a:xfrm>
        <a:prstGeom prst="rect">
          <a:avLst/>
        </a:prstGeom>
      </xdr:spPr>
    </xdr:pic>
    <xdr:clientData/>
  </xdr:twoCellAnchor>
  <xdr:twoCellAnchor editAs="oneCell">
    <xdr:from>
      <xdr:col>6</xdr:col>
      <xdr:colOff>215122</xdr:colOff>
      <xdr:row>37</xdr:row>
      <xdr:rowOff>136078</xdr:rowOff>
    </xdr:from>
    <xdr:to>
      <xdr:col>10</xdr:col>
      <xdr:colOff>578040</xdr:colOff>
      <xdr:row>52</xdr:row>
      <xdr:rowOff>82642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A7015975-34FE-7366-0858-CA085CBFA9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199224" y="7258445"/>
          <a:ext cx="3675285" cy="2745748"/>
        </a:xfrm>
        <a:prstGeom prst="rect">
          <a:avLst/>
        </a:prstGeom>
      </xdr:spPr>
    </xdr:pic>
    <xdr:clientData/>
  </xdr:twoCellAnchor>
  <xdr:twoCellAnchor editAs="oneCell">
    <xdr:from>
      <xdr:col>11</xdr:col>
      <xdr:colOff>254000</xdr:colOff>
      <xdr:row>37</xdr:row>
      <xdr:rowOff>155501</xdr:rowOff>
    </xdr:from>
    <xdr:to>
      <xdr:col>15</xdr:col>
      <xdr:colOff>478755</xdr:colOff>
      <xdr:row>52</xdr:row>
      <xdr:rowOff>18214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3FA0194E-7F80-7ADA-C47D-765AD45E0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350375" y="7426251"/>
          <a:ext cx="3431505" cy="27202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209D4-A324-49F0-9336-02BDE4B8DD02}">
  <dimension ref="A6:R88"/>
  <sheetViews>
    <sheetView topLeftCell="A22" zoomScale="90" zoomScaleNormal="90" workbookViewId="0">
      <selection activeCell="D52" sqref="D52"/>
    </sheetView>
  </sheetViews>
  <sheetFormatPr baseColWidth="10" defaultRowHeight="14.4" x14ac:dyDescent="0.3"/>
  <cols>
    <col min="2" max="2" width="11.5546875" customWidth="1"/>
    <col min="3" max="3" width="12.77734375" bestFit="1" customWidth="1"/>
    <col min="4" max="4" width="13.109375" bestFit="1" customWidth="1"/>
    <col min="5" max="6" width="11.77734375" bestFit="1" customWidth="1"/>
    <col min="8" max="8" width="11.6640625" bestFit="1" customWidth="1"/>
    <col min="9" max="9" width="13.77734375" bestFit="1" customWidth="1"/>
    <col min="10" max="10" width="13.109375" bestFit="1" customWidth="1"/>
    <col min="11" max="13" width="11.77734375" bestFit="1" customWidth="1"/>
  </cols>
  <sheetData>
    <row r="6" spans="2:10" x14ac:dyDescent="0.3">
      <c r="B6" s="14" t="s">
        <v>0</v>
      </c>
      <c r="C6" s="14"/>
      <c r="D6" s="14"/>
      <c r="E6" s="14"/>
      <c r="F6" s="14"/>
      <c r="G6" s="14"/>
    </row>
    <row r="7" spans="2:10" x14ac:dyDescent="0.3">
      <c r="C7" s="16" t="s">
        <v>20</v>
      </c>
      <c r="D7" s="26">
        <v>5.7064179972</v>
      </c>
      <c r="E7" s="26"/>
      <c r="F7" s="26"/>
      <c r="G7" s="11"/>
      <c r="I7" s="25"/>
    </row>
    <row r="8" spans="2:10" x14ac:dyDescent="0.3">
      <c r="B8" s="11"/>
      <c r="C8" s="16"/>
      <c r="D8" s="26"/>
      <c r="E8" s="26"/>
      <c r="F8" s="26"/>
      <c r="G8" s="11"/>
    </row>
    <row r="10" spans="2:10" x14ac:dyDescent="0.3">
      <c r="B10" s="14" t="s">
        <v>1</v>
      </c>
      <c r="C10" s="14"/>
      <c r="D10" s="14"/>
      <c r="E10" s="14"/>
      <c r="F10" s="14"/>
      <c r="G10" s="14"/>
    </row>
    <row r="11" spans="2:10" x14ac:dyDescent="0.3">
      <c r="B11" s="15"/>
      <c r="C11" s="15"/>
      <c r="D11" s="15"/>
      <c r="E11" s="15"/>
      <c r="F11" s="15"/>
      <c r="G11" s="15"/>
    </row>
    <row r="12" spans="2:10" x14ac:dyDescent="0.3">
      <c r="B12" s="15"/>
      <c r="C12" s="15"/>
      <c r="D12" s="15"/>
      <c r="E12" s="15"/>
      <c r="F12" s="15"/>
      <c r="G12" s="15"/>
    </row>
    <row r="14" spans="2:10" ht="23.4" x14ac:dyDescent="0.45">
      <c r="B14" s="4" t="s">
        <v>2</v>
      </c>
    </row>
    <row r="16" spans="2:10" x14ac:dyDescent="0.3">
      <c r="B16" s="17" t="s">
        <v>3</v>
      </c>
      <c r="C16" s="17"/>
      <c r="D16" s="17"/>
      <c r="E16" s="17"/>
      <c r="F16" s="17"/>
      <c r="G16" s="17"/>
      <c r="I16" s="15"/>
      <c r="J16" s="15"/>
    </row>
    <row r="17" spans="2:18" x14ac:dyDescent="0.3">
      <c r="B17" s="15"/>
      <c r="C17" s="15"/>
      <c r="D17" s="15"/>
      <c r="E17" s="15"/>
      <c r="F17" s="15"/>
      <c r="G17" s="15"/>
      <c r="I17" s="15"/>
      <c r="J17" s="15"/>
    </row>
    <row r="18" spans="2:18" x14ac:dyDescent="0.3">
      <c r="B18" s="15"/>
      <c r="C18" s="15"/>
      <c r="D18" s="15"/>
      <c r="E18" s="15"/>
      <c r="F18" s="15"/>
      <c r="G18" s="15"/>
      <c r="I18" s="15"/>
      <c r="J18" s="15"/>
    </row>
    <row r="21" spans="2:18" x14ac:dyDescent="0.3">
      <c r="B21" s="5" t="s">
        <v>4</v>
      </c>
      <c r="C21" s="5" t="s">
        <v>5</v>
      </c>
      <c r="D21" s="5" t="s">
        <v>6</v>
      </c>
      <c r="E21" s="5" t="s">
        <v>11</v>
      </c>
      <c r="F21" s="5" t="s">
        <v>7</v>
      </c>
      <c r="G21" s="5" t="s">
        <v>8</v>
      </c>
      <c r="H21" s="5" t="s">
        <v>9</v>
      </c>
      <c r="I21" s="5" t="s">
        <v>10</v>
      </c>
      <c r="K21" s="27"/>
      <c r="L21" s="27"/>
      <c r="M21" s="27"/>
      <c r="N21" s="27"/>
      <c r="O21" s="27"/>
      <c r="P21" s="27"/>
      <c r="Q21" s="27"/>
      <c r="R21" s="27"/>
    </row>
    <row r="22" spans="2:18" x14ac:dyDescent="0.3">
      <c r="B22">
        <v>0</v>
      </c>
      <c r="C22">
        <v>5</v>
      </c>
      <c r="D22">
        <v>6</v>
      </c>
      <c r="E22">
        <f>(C22+D22)/2</f>
        <v>5.5</v>
      </c>
      <c r="F22">
        <f>3*SIN(0.5*C22)-0.5*C22+2</f>
        <v>1.2954164323118698</v>
      </c>
      <c r="G22">
        <f t="shared" ref="G22:H23" si="0">3*SIN(0.5*D22)-0.5*D22+2</f>
        <v>-0.57663997582039839</v>
      </c>
      <c r="H22">
        <f t="shared" si="0"/>
        <v>0.39498297615699496</v>
      </c>
      <c r="I22">
        <v>1E-4</v>
      </c>
      <c r="K22" s="28"/>
      <c r="L22" s="28"/>
      <c r="M22" s="28"/>
      <c r="N22" s="28"/>
      <c r="O22" s="28"/>
      <c r="P22" s="28"/>
      <c r="Q22" s="28"/>
      <c r="R22" s="28"/>
    </row>
    <row r="23" spans="2:18" x14ac:dyDescent="0.3">
      <c r="B23">
        <v>1</v>
      </c>
      <c r="C23">
        <f>IF(F22*H22&lt;0,C22,E22)</f>
        <v>5.5</v>
      </c>
      <c r="D23">
        <f>IF(F22*H22&lt;0,E22,D22)</f>
        <v>6</v>
      </c>
      <c r="E23">
        <f>(C23+D23)/2</f>
        <v>5.75</v>
      </c>
      <c r="F23">
        <f>3*SIN(0.5*C23)-0.5*C23+2</f>
        <v>0.39498297615699496</v>
      </c>
      <c r="G23">
        <f t="shared" si="0"/>
        <v>-0.57663997582039839</v>
      </c>
      <c r="H23">
        <f t="shared" si="0"/>
        <v>-8.4662019909737651E-2</v>
      </c>
      <c r="K23" s="28"/>
      <c r="L23" s="28"/>
      <c r="M23" s="28"/>
      <c r="N23" s="28"/>
      <c r="O23" s="28"/>
      <c r="P23" s="28"/>
      <c r="Q23" s="28"/>
      <c r="R23" s="28"/>
    </row>
    <row r="24" spans="2:18" x14ac:dyDescent="0.3">
      <c r="B24">
        <v>2</v>
      </c>
      <c r="C24">
        <f>IF(F23*H23&lt;0,C23,E23)</f>
        <v>5.5</v>
      </c>
      <c r="D24">
        <f>IF(F23*H23&lt;0,E23,D23)</f>
        <v>5.75</v>
      </c>
      <c r="E24">
        <f>(C24+D24)/2</f>
        <v>5.625</v>
      </c>
      <c r="F24">
        <f>3*SIN(0.5*C24)-0.5*C24+2</f>
        <v>0.39498297615699496</v>
      </c>
      <c r="G24">
        <f t="shared" ref="G24" si="1">3*SIN(0.5*D24)-0.5*D24+2</f>
        <v>-8.4662019909737651E-2</v>
      </c>
      <c r="H24">
        <f t="shared" ref="H24" si="2">3*SIN(0.5*E24)-0.5*E24+2</f>
        <v>0.15705352099906067</v>
      </c>
      <c r="K24" s="28"/>
      <c r="L24" s="28"/>
      <c r="M24" s="28"/>
      <c r="N24" s="28"/>
      <c r="O24" s="28"/>
      <c r="P24" s="28"/>
      <c r="Q24" s="28"/>
      <c r="R24" s="28"/>
    </row>
    <row r="25" spans="2:18" x14ac:dyDescent="0.3">
      <c r="B25">
        <v>3</v>
      </c>
      <c r="C25">
        <f>IF(F24*H24&lt;0,C24,E24)</f>
        <v>5.625</v>
      </c>
      <c r="D25">
        <f>IF(F24*H24&lt;0,E24,D24)</f>
        <v>5.75</v>
      </c>
      <c r="E25">
        <f>(C25+D25)/2</f>
        <v>5.6875</v>
      </c>
      <c r="F25">
        <f>3*SIN(0.5*C25)-0.5*C25+2</f>
        <v>0.15705352099906067</v>
      </c>
      <c r="G25">
        <f t="shared" ref="G25:G26" si="3">3*SIN(0.5*D25)-0.5*D25+2</f>
        <v>-8.4662019909737651E-2</v>
      </c>
      <c r="H25">
        <f t="shared" ref="H25:H26" si="4">3*SIN(0.5*E25)-0.5*E25+2</f>
        <v>3.6625586454641201E-2</v>
      </c>
      <c r="K25" s="28"/>
      <c r="L25" s="28"/>
      <c r="M25" s="28"/>
      <c r="N25" s="28"/>
      <c r="O25" s="28"/>
      <c r="P25" s="28"/>
      <c r="Q25" s="28"/>
      <c r="R25" s="28"/>
    </row>
    <row r="26" spans="2:18" x14ac:dyDescent="0.3">
      <c r="B26">
        <v>4</v>
      </c>
      <c r="C26">
        <f>IF(F25*H25&lt;0,C25,E25)</f>
        <v>5.6875</v>
      </c>
      <c r="D26">
        <f>IF(F25*H25&lt;0,E25,D25)</f>
        <v>5.75</v>
      </c>
      <c r="E26">
        <f>(C26+D26)/2</f>
        <v>5.71875</v>
      </c>
      <c r="F26">
        <f>3*SIN(0.5*C26)-0.5*C26+2</f>
        <v>3.6625586454641201E-2</v>
      </c>
      <c r="G26">
        <f t="shared" si="3"/>
        <v>-8.4662019909737651E-2</v>
      </c>
      <c r="H26">
        <f t="shared" si="4"/>
        <v>-2.3916234089780275E-2</v>
      </c>
      <c r="K26" s="28"/>
      <c r="L26" s="28"/>
      <c r="M26" s="28"/>
      <c r="N26" s="28"/>
      <c r="O26" s="28"/>
      <c r="P26" s="28"/>
      <c r="Q26" s="28"/>
      <c r="R26" s="28"/>
    </row>
    <row r="27" spans="2:18" x14ac:dyDescent="0.3">
      <c r="B27">
        <v>5</v>
      </c>
      <c r="C27">
        <f>IF(F26*H26&lt;0,C26,E26)</f>
        <v>5.6875</v>
      </c>
      <c r="D27">
        <f>IF(F26*H26&lt;0,E26,D26)</f>
        <v>5.71875</v>
      </c>
      <c r="E27">
        <f>(C27+D27)/2</f>
        <v>5.703125</v>
      </c>
      <c r="F27">
        <f>3*SIN(0.5*C27)-0.5*C27+2</f>
        <v>3.6625586454641201E-2</v>
      </c>
      <c r="G27">
        <f t="shared" ref="G27:G34" si="5">3*SIN(0.5*D27)-0.5*D27+2</f>
        <v>-2.3916234089780275E-2</v>
      </c>
      <c r="H27">
        <f t="shared" ref="H27:H34" si="6">3*SIN(0.5*E27)-0.5*E27+2</f>
        <v>6.3808584027273962E-3</v>
      </c>
      <c r="K27" s="28"/>
      <c r="L27" s="28"/>
      <c r="M27" s="28"/>
      <c r="N27" s="28"/>
      <c r="O27" s="28"/>
      <c r="P27" s="28"/>
      <c r="Q27" s="28"/>
      <c r="R27" s="28"/>
    </row>
    <row r="28" spans="2:18" x14ac:dyDescent="0.3">
      <c r="B28">
        <v>6</v>
      </c>
      <c r="C28">
        <f>IF(F27*H27&lt;0,C27,E27)</f>
        <v>5.703125</v>
      </c>
      <c r="D28">
        <f>IF(F27*H27&lt;0,E27,D27)</f>
        <v>5.71875</v>
      </c>
      <c r="E28">
        <f>(C28+D28)/2</f>
        <v>5.7109375</v>
      </c>
      <c r="F28">
        <f>3*SIN(0.5*C28)-0.5*C28+2</f>
        <v>6.3808584027273962E-3</v>
      </c>
      <c r="G28">
        <f t="shared" si="5"/>
        <v>-2.3916234089780275E-2</v>
      </c>
      <c r="H28">
        <f t="shared" si="6"/>
        <v>-8.7612279860023179E-3</v>
      </c>
      <c r="K28" s="28"/>
      <c r="L28" s="28"/>
      <c r="M28" s="28"/>
      <c r="N28" s="28"/>
      <c r="O28" s="28"/>
      <c r="P28" s="28"/>
      <c r="Q28" s="28"/>
      <c r="R28" s="28"/>
    </row>
    <row r="29" spans="2:18" x14ac:dyDescent="0.3">
      <c r="B29">
        <v>7</v>
      </c>
      <c r="C29">
        <f>IF(F28*H28&lt;0,C28,E28)</f>
        <v>5.703125</v>
      </c>
      <c r="D29">
        <f>IF(F28*H28&lt;0,E28,D28)</f>
        <v>5.7109375</v>
      </c>
      <c r="E29">
        <f>(C29+D29)/2</f>
        <v>5.70703125</v>
      </c>
      <c r="F29">
        <f>3*SIN(0.5*C29)-0.5*C29+2</f>
        <v>6.3808584027273962E-3</v>
      </c>
      <c r="G29">
        <f t="shared" si="5"/>
        <v>-8.7612279860023179E-3</v>
      </c>
      <c r="H29">
        <f t="shared" si="6"/>
        <v>-1.1885591072906543E-3</v>
      </c>
      <c r="K29" s="28"/>
      <c r="L29" s="28"/>
      <c r="M29" s="28"/>
      <c r="N29" s="28"/>
      <c r="O29" s="28"/>
      <c r="P29" s="28"/>
      <c r="Q29" s="28"/>
      <c r="R29" s="28"/>
    </row>
    <row r="30" spans="2:18" x14ac:dyDescent="0.3">
      <c r="B30">
        <v>8</v>
      </c>
      <c r="C30">
        <f>IF(F29*H29&lt;0,C29,E29)</f>
        <v>5.703125</v>
      </c>
      <c r="D30">
        <f>IF(F29*H29&lt;0,E29,D29)</f>
        <v>5.70703125</v>
      </c>
      <c r="E30">
        <f>(C30+D30)/2</f>
        <v>5.705078125</v>
      </c>
      <c r="F30">
        <f>3*SIN(0.5*C30)-0.5*C30+2</f>
        <v>6.3808584027273962E-3</v>
      </c>
      <c r="G30">
        <f t="shared" si="5"/>
        <v>-1.1885591072906543E-3</v>
      </c>
      <c r="H30">
        <f t="shared" si="6"/>
        <v>2.5965574081250331E-3</v>
      </c>
      <c r="K30" s="28"/>
      <c r="L30" s="28"/>
      <c r="M30" s="28"/>
      <c r="N30" s="28"/>
      <c r="O30" s="28"/>
      <c r="P30" s="28"/>
      <c r="Q30" s="28"/>
      <c r="R30" s="28"/>
    </row>
    <row r="31" spans="2:18" x14ac:dyDescent="0.3">
      <c r="B31">
        <v>9</v>
      </c>
      <c r="C31">
        <f>IF(F30*H30&lt;0,C30,E30)</f>
        <v>5.705078125</v>
      </c>
      <c r="D31">
        <f>IF(F30*H30&lt;0,E30,D30)</f>
        <v>5.70703125</v>
      </c>
      <c r="E31">
        <f>(C31+D31)/2</f>
        <v>5.7060546875</v>
      </c>
      <c r="F31">
        <f>3*SIN(0.5*C31)-0.5*C31+2</f>
        <v>2.5965574081250331E-3</v>
      </c>
      <c r="G31">
        <f t="shared" si="5"/>
        <v>-1.1885591072906543E-3</v>
      </c>
      <c r="H31">
        <f t="shared" si="6"/>
        <v>7.0410092313410999E-4</v>
      </c>
      <c r="K31" s="28"/>
      <c r="L31" s="28"/>
      <c r="M31" s="28"/>
      <c r="N31" s="28"/>
      <c r="O31" s="28"/>
      <c r="P31" s="28"/>
      <c r="Q31" s="28"/>
      <c r="R31" s="28"/>
    </row>
    <row r="32" spans="2:18" x14ac:dyDescent="0.3">
      <c r="B32">
        <v>10</v>
      </c>
      <c r="C32">
        <f>IF(F31*H31&lt;0,C31,E31)</f>
        <v>5.7060546875</v>
      </c>
      <c r="D32">
        <f>IF(F31*H31&lt;0,E31,D31)</f>
        <v>5.70703125</v>
      </c>
      <c r="E32">
        <f>(C32+D32)/2</f>
        <v>5.70654296875</v>
      </c>
      <c r="F32">
        <f>3*SIN(0.5*C32)-0.5*C32+2</f>
        <v>7.0410092313410999E-4</v>
      </c>
      <c r="G32">
        <f t="shared" si="5"/>
        <v>-1.1885591072906543E-3</v>
      </c>
      <c r="H32">
        <f t="shared" si="6"/>
        <v>-2.4220366982463659E-4</v>
      </c>
      <c r="K32" s="28"/>
      <c r="L32" s="28"/>
      <c r="M32" s="28"/>
      <c r="N32" s="28"/>
      <c r="O32" s="28"/>
      <c r="P32" s="28"/>
      <c r="Q32" s="28"/>
      <c r="R32" s="28"/>
    </row>
    <row r="33" spans="2:18" x14ac:dyDescent="0.3">
      <c r="B33">
        <v>11</v>
      </c>
      <c r="C33">
        <f>IF(F32*H32&lt;0,C32,E32)</f>
        <v>5.7060546875</v>
      </c>
      <c r="D33">
        <f>IF(F32*H32&lt;0,E32,D32)</f>
        <v>5.70654296875</v>
      </c>
      <c r="E33">
        <f>(C33+D33)/2</f>
        <v>5.706298828125</v>
      </c>
      <c r="F33">
        <f>3*SIN(0.5*C33)-0.5*C33+2</f>
        <v>7.0410092313410999E-4</v>
      </c>
      <c r="G33">
        <f t="shared" si="5"/>
        <v>-2.4220366982463659E-4</v>
      </c>
      <c r="H33">
        <f t="shared" si="6"/>
        <v>2.3095498483405308E-4</v>
      </c>
      <c r="K33" s="28"/>
      <c r="L33" s="28"/>
      <c r="M33" s="28"/>
      <c r="N33" s="28"/>
      <c r="O33" s="28"/>
      <c r="P33" s="28"/>
      <c r="Q33" s="28"/>
      <c r="R33" s="28"/>
    </row>
    <row r="34" spans="2:18" x14ac:dyDescent="0.3">
      <c r="B34">
        <v>12</v>
      </c>
      <c r="C34">
        <f>IF(F33*H33&lt;0,C33,E33)</f>
        <v>5.706298828125</v>
      </c>
      <c r="D34">
        <f>IF(F33*H33&lt;0,E33,D33)</f>
        <v>5.70654296875</v>
      </c>
      <c r="E34" s="7">
        <f>(C34+D34)/2</f>
        <v>5.7064208984375</v>
      </c>
      <c r="F34">
        <f>3*SIN(0.5*C34)-0.5*C34+2</f>
        <v>2.3095498483405308E-4</v>
      </c>
      <c r="G34">
        <f t="shared" si="5"/>
        <v>-2.4220366982463659E-4</v>
      </c>
      <c r="H34" s="6">
        <f t="shared" si="6"/>
        <v>-5.622753277645387E-6</v>
      </c>
      <c r="K34" s="28"/>
      <c r="L34" s="28"/>
      <c r="M34" s="28"/>
      <c r="N34" s="28"/>
      <c r="O34" s="28"/>
      <c r="P34" s="28"/>
      <c r="Q34" s="28"/>
      <c r="R34" s="28"/>
    </row>
    <row r="35" spans="2:18" x14ac:dyDescent="0.3">
      <c r="K35" s="28"/>
      <c r="L35" s="28"/>
      <c r="M35" s="28"/>
      <c r="N35" s="28"/>
      <c r="O35" s="28"/>
      <c r="P35" s="28"/>
      <c r="Q35" s="28"/>
      <c r="R35" s="28"/>
    </row>
    <row r="36" spans="2:18" x14ac:dyDescent="0.3">
      <c r="C36" s="8"/>
      <c r="D36" s="8"/>
      <c r="K36" s="28"/>
      <c r="L36" s="28"/>
      <c r="M36" s="28"/>
      <c r="N36" s="29"/>
      <c r="O36" s="28"/>
      <c r="P36" s="28"/>
      <c r="Q36" s="28"/>
      <c r="R36" s="28"/>
    </row>
    <row r="37" spans="2:18" x14ac:dyDescent="0.3">
      <c r="B37" s="17" t="s">
        <v>21</v>
      </c>
      <c r="C37" s="17"/>
      <c r="D37" s="17"/>
      <c r="E37" s="17"/>
      <c r="F37" s="17"/>
      <c r="G37" s="17"/>
      <c r="K37" s="28"/>
      <c r="L37" s="28"/>
      <c r="M37" s="28"/>
      <c r="N37" s="29"/>
      <c r="O37" s="28"/>
      <c r="P37" s="28"/>
      <c r="Q37" s="28"/>
      <c r="R37" s="28"/>
    </row>
    <row r="38" spans="2:18" x14ac:dyDescent="0.3">
      <c r="C38" s="16" t="s">
        <v>22</v>
      </c>
      <c r="D38" s="31">
        <f>ABS($D$7-E34)/ABS($D$7)*100</f>
        <v>5.0841657611531713E-5</v>
      </c>
      <c r="E38" s="31"/>
      <c r="F38" s="31"/>
      <c r="G38" s="30"/>
      <c r="N38" s="2"/>
    </row>
    <row r="39" spans="2:18" x14ac:dyDescent="0.3">
      <c r="B39" s="11"/>
      <c r="C39" s="16"/>
      <c r="D39" s="31"/>
      <c r="E39" s="31"/>
      <c r="F39" s="31"/>
      <c r="G39" s="30"/>
    </row>
    <row r="42" spans="2:18" ht="23.4" x14ac:dyDescent="0.45">
      <c r="B42" s="4"/>
    </row>
    <row r="44" spans="2:18" x14ac:dyDescent="0.3">
      <c r="B44" s="2"/>
      <c r="C44" s="2"/>
      <c r="D44" s="2"/>
      <c r="E44" s="2"/>
      <c r="F44" s="2"/>
      <c r="G44" s="2"/>
      <c r="I44" s="2"/>
      <c r="J44" s="2"/>
      <c r="K44" s="2"/>
    </row>
    <row r="45" spans="2:18" x14ac:dyDescent="0.3">
      <c r="I45" s="2"/>
      <c r="J45" s="2"/>
      <c r="K45" s="2"/>
    </row>
    <row r="46" spans="2:18" x14ac:dyDescent="0.3">
      <c r="I46" s="2"/>
      <c r="J46" s="2"/>
      <c r="K46" s="2"/>
    </row>
    <row r="47" spans="2:18" x14ac:dyDescent="0.3">
      <c r="I47" s="2"/>
      <c r="J47" s="2"/>
      <c r="K47" s="2"/>
    </row>
    <row r="48" spans="2:18" x14ac:dyDescent="0.3">
      <c r="B48" s="2"/>
      <c r="C48" s="2"/>
      <c r="D48" s="2"/>
      <c r="E48" s="2"/>
      <c r="F48" s="2"/>
      <c r="G48" s="2"/>
      <c r="I48" s="2"/>
      <c r="J48" s="2"/>
      <c r="K48" s="2"/>
    </row>
    <row r="53" spans="2:15" x14ac:dyDescent="0.3">
      <c r="B53" s="3"/>
      <c r="C53" s="3"/>
      <c r="D53" s="3"/>
      <c r="E53" s="3"/>
      <c r="F53" s="3"/>
      <c r="G53" s="3"/>
      <c r="I53" s="3"/>
      <c r="J53" s="3"/>
      <c r="K53" s="3"/>
      <c r="L53" s="3"/>
      <c r="M53" s="3"/>
      <c r="O53" s="3"/>
    </row>
    <row r="55" spans="2:15" x14ac:dyDescent="0.3">
      <c r="M55" s="2"/>
    </row>
    <row r="56" spans="2:15" x14ac:dyDescent="0.3">
      <c r="F56" s="2"/>
      <c r="J56" s="2"/>
      <c r="M56" s="2"/>
    </row>
    <row r="57" spans="2:15" x14ac:dyDescent="0.3">
      <c r="C57" s="2"/>
    </row>
    <row r="60" spans="2:15" x14ac:dyDescent="0.3">
      <c r="B60" s="2"/>
      <c r="C60" s="2"/>
      <c r="D60" s="2"/>
      <c r="E60" s="2"/>
      <c r="F60" s="2"/>
      <c r="G60" s="2"/>
    </row>
    <row r="61" spans="2:15" x14ac:dyDescent="0.3">
      <c r="B61" s="11"/>
      <c r="C61" s="12"/>
      <c r="D61" s="12"/>
      <c r="E61" s="11"/>
      <c r="F61" s="13"/>
      <c r="G61" s="13"/>
    </row>
    <row r="62" spans="2:15" x14ac:dyDescent="0.3">
      <c r="B62" s="11"/>
      <c r="C62" s="12"/>
      <c r="D62" s="12"/>
      <c r="E62" s="11"/>
      <c r="F62" s="13"/>
      <c r="G62" s="13"/>
    </row>
    <row r="65" spans="1:11" ht="23.4" x14ac:dyDescent="0.45">
      <c r="B65" s="4"/>
      <c r="C65" s="4"/>
    </row>
    <row r="67" spans="1:11" x14ac:dyDescent="0.3">
      <c r="B67" s="2"/>
      <c r="C67" s="2"/>
      <c r="D67" s="2"/>
      <c r="E67" s="2"/>
      <c r="F67" s="2"/>
      <c r="G67" s="2"/>
    </row>
    <row r="69" spans="1:11" x14ac:dyDescent="0.3">
      <c r="A69" s="1"/>
    </row>
    <row r="70" spans="1:11" x14ac:dyDescent="0.3">
      <c r="A70" s="1"/>
      <c r="B70" s="1"/>
      <c r="C70" s="1"/>
      <c r="D70" s="1"/>
      <c r="E70" s="1"/>
      <c r="F70" s="1"/>
    </row>
    <row r="72" spans="1:11" x14ac:dyDescent="0.3">
      <c r="B72" s="3"/>
      <c r="C72" s="3"/>
      <c r="D72" s="3"/>
      <c r="E72" s="3"/>
      <c r="H72" s="3"/>
      <c r="I72" s="3"/>
      <c r="J72" s="3"/>
      <c r="K72" s="3"/>
    </row>
    <row r="78" spans="1:11" x14ac:dyDescent="0.3">
      <c r="C78" s="2"/>
    </row>
    <row r="80" spans="1:11" x14ac:dyDescent="0.3">
      <c r="I80" s="2"/>
    </row>
    <row r="83" spans="2:7" x14ac:dyDescent="0.3">
      <c r="B83" s="2"/>
      <c r="C83" s="2"/>
      <c r="D83" s="2"/>
      <c r="E83" s="2"/>
      <c r="F83" s="2"/>
      <c r="G83" s="2"/>
    </row>
    <row r="84" spans="2:7" x14ac:dyDescent="0.3">
      <c r="B84" s="11"/>
      <c r="C84" s="12"/>
      <c r="D84" s="12"/>
      <c r="E84" s="11"/>
      <c r="F84" s="13"/>
      <c r="G84" s="13"/>
    </row>
    <row r="85" spans="2:7" x14ac:dyDescent="0.3">
      <c r="B85" s="11"/>
      <c r="C85" s="12"/>
      <c r="D85" s="12"/>
      <c r="E85" s="11"/>
      <c r="F85" s="13"/>
      <c r="G85" s="13"/>
    </row>
    <row r="88" spans="2:7" ht="14.4" customHeight="1" x14ac:dyDescent="0.45">
      <c r="B88" s="4"/>
    </row>
  </sheetData>
  <mergeCells count="11">
    <mergeCell ref="C38:C39"/>
    <mergeCell ref="D38:F39"/>
    <mergeCell ref="B6:G6"/>
    <mergeCell ref="I16:J18"/>
    <mergeCell ref="B37:G37"/>
    <mergeCell ref="B16:G16"/>
    <mergeCell ref="B17:G18"/>
    <mergeCell ref="C7:C8"/>
    <mergeCell ref="D7:F8"/>
    <mergeCell ref="B10:G10"/>
    <mergeCell ref="B11:G1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ADB6B-D219-467E-A805-01CE87C2C812}">
  <dimension ref="B6:O34"/>
  <sheetViews>
    <sheetView topLeftCell="A13" zoomScale="96" zoomScaleNormal="96" workbookViewId="0">
      <selection activeCell="D7" sqref="D7:F8"/>
    </sheetView>
  </sheetViews>
  <sheetFormatPr baseColWidth="10" defaultRowHeight="14.4" x14ac:dyDescent="0.3"/>
  <cols>
    <col min="2" max="2" width="11.5546875" customWidth="1"/>
    <col min="3" max="3" width="12.77734375" bestFit="1" customWidth="1"/>
    <col min="4" max="4" width="13.109375" bestFit="1" customWidth="1"/>
    <col min="5" max="6" width="11.77734375" bestFit="1" customWidth="1"/>
    <col min="8" max="8" width="11.6640625" bestFit="1" customWidth="1"/>
    <col min="9" max="9" width="11.88671875" bestFit="1" customWidth="1"/>
    <col min="10" max="10" width="13.109375" bestFit="1" customWidth="1"/>
    <col min="11" max="13" width="11.77734375" bestFit="1" customWidth="1"/>
  </cols>
  <sheetData>
    <row r="6" spans="2:9" x14ac:dyDescent="0.3">
      <c r="B6" s="14" t="s">
        <v>0</v>
      </c>
      <c r="C6" s="14"/>
      <c r="D6" s="14"/>
      <c r="E6" s="14"/>
      <c r="F6" s="14"/>
      <c r="G6" s="14"/>
    </row>
    <row r="7" spans="2:9" x14ac:dyDescent="0.3">
      <c r="C7" s="16" t="s">
        <v>20</v>
      </c>
      <c r="D7" s="26">
        <v>5.7064179972</v>
      </c>
      <c r="E7" s="26"/>
      <c r="F7" s="26"/>
      <c r="G7" s="11"/>
      <c r="I7" s="25"/>
    </row>
    <row r="8" spans="2:9" x14ac:dyDescent="0.3">
      <c r="B8" s="11"/>
      <c r="C8" s="16"/>
      <c r="D8" s="26"/>
      <c r="E8" s="26"/>
      <c r="F8" s="26"/>
      <c r="G8" s="11"/>
    </row>
    <row r="10" spans="2:9" x14ac:dyDescent="0.3">
      <c r="B10" s="14" t="s">
        <v>1</v>
      </c>
      <c r="C10" s="14"/>
      <c r="D10" s="14"/>
      <c r="E10" s="14"/>
      <c r="F10" s="14"/>
      <c r="G10" s="14"/>
    </row>
    <row r="11" spans="2:9" x14ac:dyDescent="0.3">
      <c r="B11" s="15"/>
      <c r="C11" s="15"/>
      <c r="D11" s="15"/>
      <c r="E11" s="15"/>
      <c r="F11" s="15"/>
      <c r="G11" s="15"/>
    </row>
    <row r="12" spans="2:9" x14ac:dyDescent="0.3">
      <c r="B12" s="15"/>
      <c r="C12" s="15"/>
      <c r="D12" s="15"/>
      <c r="E12" s="15"/>
      <c r="F12" s="15"/>
      <c r="G12" s="15"/>
    </row>
    <row r="15" spans="2:9" ht="23.4" x14ac:dyDescent="0.45">
      <c r="B15" s="4" t="s">
        <v>13</v>
      </c>
    </row>
    <row r="17" spans="2:15" x14ac:dyDescent="0.3">
      <c r="B17" s="19" t="s">
        <v>14</v>
      </c>
      <c r="C17" s="19"/>
      <c r="D17" s="19"/>
      <c r="E17" s="19"/>
      <c r="F17" s="19"/>
      <c r="G17" s="19"/>
      <c r="I17" s="18"/>
      <c r="J17" s="18"/>
      <c r="K17" s="18"/>
    </row>
    <row r="18" spans="2:15" x14ac:dyDescent="0.3">
      <c r="B18" s="15"/>
      <c r="C18" s="15"/>
      <c r="D18" s="15"/>
      <c r="E18" s="15"/>
      <c r="F18" s="15"/>
      <c r="G18" s="15"/>
      <c r="I18" s="18"/>
      <c r="J18" s="18"/>
      <c r="K18" s="18"/>
    </row>
    <row r="19" spans="2:15" x14ac:dyDescent="0.3">
      <c r="B19" s="15"/>
      <c r="C19" s="15"/>
      <c r="D19" s="15"/>
      <c r="E19" s="15"/>
      <c r="F19" s="15"/>
      <c r="G19" s="15"/>
      <c r="I19" s="18"/>
      <c r="J19" s="18"/>
      <c r="K19" s="18"/>
    </row>
    <row r="20" spans="2:15" x14ac:dyDescent="0.3">
      <c r="I20" s="18"/>
      <c r="J20" s="18"/>
      <c r="K20" s="18"/>
    </row>
    <row r="21" spans="2:15" x14ac:dyDescent="0.3">
      <c r="B21" s="19" t="s">
        <v>15</v>
      </c>
      <c r="C21" s="19"/>
      <c r="D21" s="19"/>
      <c r="E21" s="19"/>
      <c r="F21" s="19"/>
      <c r="G21" s="19"/>
      <c r="I21" s="2"/>
      <c r="J21" s="2"/>
      <c r="K21" s="2"/>
    </row>
    <row r="22" spans="2:15" x14ac:dyDescent="0.3">
      <c r="B22" s="15"/>
      <c r="C22" s="15"/>
      <c r="D22" s="15"/>
      <c r="E22" s="15"/>
      <c r="F22" s="15"/>
      <c r="G22" s="15"/>
    </row>
    <row r="23" spans="2:15" x14ac:dyDescent="0.3">
      <c r="B23" s="15"/>
      <c r="C23" s="15"/>
      <c r="D23" s="15"/>
      <c r="E23" s="15"/>
      <c r="F23" s="15"/>
      <c r="G23" s="15"/>
    </row>
    <row r="26" spans="2:15" x14ac:dyDescent="0.3">
      <c r="B26" s="9" t="s">
        <v>4</v>
      </c>
      <c r="C26" s="9" t="s">
        <v>17</v>
      </c>
      <c r="D26" s="9" t="s">
        <v>18</v>
      </c>
      <c r="E26" s="9" t="s">
        <v>19</v>
      </c>
      <c r="F26" s="9" t="s">
        <v>10</v>
      </c>
      <c r="G26" s="3"/>
      <c r="I26" s="27"/>
      <c r="J26" s="27"/>
      <c r="K26" s="27"/>
      <c r="L26" s="27"/>
      <c r="M26" s="27"/>
      <c r="N26" s="28"/>
      <c r="O26" s="3"/>
    </row>
    <row r="27" spans="2:15" x14ac:dyDescent="0.3">
      <c r="B27">
        <v>0</v>
      </c>
      <c r="C27">
        <v>5.5</v>
      </c>
      <c r="D27">
        <f>3*SIN(0.5*C27)-0.5*C27+2</f>
        <v>0.39498297615699496</v>
      </c>
      <c r="E27">
        <f>1.5*COS(0.5*C27)-0.5</f>
        <v>-1.8864535679486953</v>
      </c>
      <c r="F27">
        <v>1E-4</v>
      </c>
      <c r="I27" s="28"/>
      <c r="J27" s="28"/>
      <c r="K27" s="28"/>
      <c r="L27" s="28"/>
      <c r="M27" s="28"/>
      <c r="N27" s="28"/>
    </row>
    <row r="28" spans="2:15" x14ac:dyDescent="0.3">
      <c r="B28">
        <v>1</v>
      </c>
      <c r="C28">
        <f>C27-(D27/E27)</f>
        <v>5.7093785836385544</v>
      </c>
      <c r="D28">
        <f>3*SIN(0.5*C28)-0.5*C28+2</f>
        <v>-5.7387191946283167E-3</v>
      </c>
      <c r="E28">
        <f>1.5*COS(0.5*C28)-0.5</f>
        <v>-1.9386871554685092</v>
      </c>
      <c r="I28" s="28"/>
      <c r="J28" s="28"/>
      <c r="K28" s="28"/>
      <c r="L28" s="28"/>
      <c r="M28" s="29"/>
      <c r="N28" s="28"/>
    </row>
    <row r="29" spans="2:15" x14ac:dyDescent="0.3">
      <c r="B29">
        <v>2</v>
      </c>
      <c r="C29" s="7">
        <f>C28-(D28/E28)</f>
        <v>5.7064184777862819</v>
      </c>
      <c r="D29">
        <f>3*SIN(0.5*C29)-0.5*C29+2</f>
        <v>-9.313918063469373E-7</v>
      </c>
      <c r="E29">
        <f>1.5*COS(0.5*C29)-0.5</f>
        <v>-1.9380573340457177</v>
      </c>
      <c r="F29" s="2"/>
      <c r="I29" s="28"/>
      <c r="J29" s="29"/>
      <c r="K29" s="28"/>
      <c r="L29" s="28"/>
      <c r="M29" s="29"/>
      <c r="N29" s="28"/>
    </row>
    <row r="30" spans="2:15" x14ac:dyDescent="0.3">
      <c r="B30" s="28"/>
      <c r="C30" s="29"/>
      <c r="D30" s="28"/>
      <c r="E30" s="28"/>
      <c r="F30" s="28"/>
      <c r="I30" s="28"/>
      <c r="J30" s="28"/>
      <c r="K30" s="28"/>
      <c r="L30" s="28"/>
      <c r="M30" s="28"/>
      <c r="N30" s="28"/>
    </row>
    <row r="32" spans="2:15" x14ac:dyDescent="0.3">
      <c r="B32" s="19" t="s">
        <v>12</v>
      </c>
      <c r="C32" s="19"/>
      <c r="D32" s="19"/>
      <c r="E32" s="19"/>
      <c r="F32" s="19"/>
      <c r="G32" s="19"/>
    </row>
    <row r="33" spans="2:7" x14ac:dyDescent="0.3">
      <c r="C33" s="16" t="s">
        <v>22</v>
      </c>
      <c r="D33" s="20">
        <f>ABS($D$7-C29)/ABS($D$7)*100</f>
        <v>8.4218555688895061E-6</v>
      </c>
      <c r="E33" s="20"/>
      <c r="F33" s="20"/>
      <c r="G33" s="32"/>
    </row>
    <row r="34" spans="2:7" x14ac:dyDescent="0.3">
      <c r="B34" s="11"/>
      <c r="C34" s="16"/>
      <c r="D34" s="20"/>
      <c r="E34" s="20"/>
      <c r="F34" s="20"/>
      <c r="G34" s="32"/>
    </row>
  </sheetData>
  <mergeCells count="13">
    <mergeCell ref="B17:G17"/>
    <mergeCell ref="D33:F34"/>
    <mergeCell ref="C33:C34"/>
    <mergeCell ref="I17:K20"/>
    <mergeCell ref="B18:G19"/>
    <mergeCell ref="B21:G21"/>
    <mergeCell ref="B22:G23"/>
    <mergeCell ref="B32:G32"/>
    <mergeCell ref="B11:G12"/>
    <mergeCell ref="B6:G6"/>
    <mergeCell ref="B10:G10"/>
    <mergeCell ref="C7:C8"/>
    <mergeCell ref="D7:F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85199-6F34-47A3-989D-5ABBEC831617}">
  <dimension ref="A6:L35"/>
  <sheetViews>
    <sheetView topLeftCell="A10" zoomScale="96" zoomScaleNormal="96" workbookViewId="0">
      <selection activeCell="B6" sqref="B6:G8"/>
    </sheetView>
  </sheetViews>
  <sheetFormatPr baseColWidth="10" defaultRowHeight="14.4" x14ac:dyDescent="0.3"/>
  <cols>
    <col min="2" max="2" width="11.5546875" customWidth="1"/>
    <col min="3" max="3" width="12.77734375" bestFit="1" customWidth="1"/>
    <col min="4" max="4" width="13.109375" bestFit="1" customWidth="1"/>
    <col min="5" max="6" width="11.77734375" bestFit="1" customWidth="1"/>
    <col min="8" max="8" width="11.6640625" bestFit="1" customWidth="1"/>
    <col min="9" max="9" width="11.88671875" bestFit="1" customWidth="1"/>
    <col min="10" max="10" width="13.109375" bestFit="1" customWidth="1"/>
    <col min="11" max="13" width="11.77734375" bestFit="1" customWidth="1"/>
  </cols>
  <sheetData>
    <row r="6" spans="2:12" x14ac:dyDescent="0.3">
      <c r="B6" s="14" t="s">
        <v>0</v>
      </c>
      <c r="C6" s="14"/>
      <c r="D6" s="14"/>
      <c r="E6" s="14"/>
      <c r="F6" s="14"/>
      <c r="G6" s="14"/>
    </row>
    <row r="7" spans="2:12" x14ac:dyDescent="0.3">
      <c r="C7" s="16" t="s">
        <v>20</v>
      </c>
      <c r="D7" s="26">
        <v>5.7064179972</v>
      </c>
      <c r="E7" s="26"/>
      <c r="F7" s="26"/>
      <c r="G7" s="11"/>
      <c r="I7" s="25"/>
    </row>
    <row r="8" spans="2:12" x14ac:dyDescent="0.3">
      <c r="B8" s="11"/>
      <c r="C8" s="16"/>
      <c r="D8" s="26"/>
      <c r="E8" s="26"/>
      <c r="F8" s="26"/>
      <c r="G8" s="11"/>
    </row>
    <row r="10" spans="2:12" x14ac:dyDescent="0.3">
      <c r="B10" s="14" t="s">
        <v>1</v>
      </c>
      <c r="C10" s="14"/>
      <c r="D10" s="14"/>
      <c r="E10" s="14"/>
      <c r="F10" s="14"/>
      <c r="G10" s="14"/>
    </row>
    <row r="11" spans="2:12" x14ac:dyDescent="0.3">
      <c r="B11" s="15"/>
      <c r="C11" s="15"/>
      <c r="D11" s="15"/>
      <c r="E11" s="15"/>
      <c r="F11" s="15"/>
      <c r="G11" s="15"/>
    </row>
    <row r="12" spans="2:12" x14ac:dyDescent="0.3">
      <c r="B12" s="15"/>
      <c r="C12" s="15"/>
      <c r="D12" s="15"/>
      <c r="E12" s="15"/>
      <c r="F12" s="15"/>
      <c r="G12" s="15"/>
    </row>
    <row r="15" spans="2:12" ht="23.4" x14ac:dyDescent="0.45">
      <c r="B15" s="21" t="s">
        <v>16</v>
      </c>
      <c r="C15" s="21"/>
    </row>
    <row r="16" spans="2:12" x14ac:dyDescent="0.3">
      <c r="I16" s="15"/>
      <c r="J16" s="15"/>
      <c r="K16" s="15"/>
      <c r="L16" s="15"/>
    </row>
    <row r="17" spans="1:12" x14ac:dyDescent="0.3">
      <c r="B17" s="22" t="s">
        <v>3</v>
      </c>
      <c r="C17" s="22"/>
      <c r="D17" s="22"/>
      <c r="E17" s="22"/>
      <c r="F17" s="22"/>
      <c r="G17" s="22"/>
      <c r="I17" s="15"/>
      <c r="J17" s="15"/>
      <c r="K17" s="15"/>
      <c r="L17" s="15"/>
    </row>
    <row r="18" spans="1:12" x14ac:dyDescent="0.3">
      <c r="B18" s="15"/>
      <c r="C18" s="15"/>
      <c r="D18" s="15"/>
      <c r="E18" s="15"/>
      <c r="F18" s="15"/>
      <c r="G18" s="15"/>
      <c r="I18" s="15"/>
      <c r="J18" s="15"/>
      <c r="K18" s="15"/>
      <c r="L18" s="15"/>
    </row>
    <row r="19" spans="1:12" x14ac:dyDescent="0.3">
      <c r="A19" s="1"/>
      <c r="B19" s="15"/>
      <c r="C19" s="15"/>
      <c r="D19" s="15"/>
      <c r="E19" s="15"/>
      <c r="F19" s="15"/>
      <c r="G19" s="15"/>
      <c r="I19" s="15"/>
      <c r="J19" s="15"/>
      <c r="K19" s="15"/>
      <c r="L19" s="15"/>
    </row>
    <row r="20" spans="1:12" x14ac:dyDescent="0.3">
      <c r="A20" s="1"/>
      <c r="B20" s="1"/>
      <c r="C20" s="1"/>
      <c r="D20" s="1"/>
      <c r="E20" s="1"/>
      <c r="F20" s="1"/>
    </row>
    <row r="22" spans="1:12" x14ac:dyDescent="0.3">
      <c r="B22" s="10" t="s">
        <v>4</v>
      </c>
      <c r="C22" s="10" t="s">
        <v>17</v>
      </c>
      <c r="D22" s="10" t="s">
        <v>18</v>
      </c>
      <c r="E22" s="10" t="s">
        <v>10</v>
      </c>
      <c r="G22" s="28"/>
      <c r="H22" s="27"/>
      <c r="I22" s="27"/>
      <c r="J22" s="27"/>
      <c r="K22" s="27"/>
      <c r="L22" s="28"/>
    </row>
    <row r="23" spans="1:12" x14ac:dyDescent="0.3">
      <c r="B23">
        <v>0</v>
      </c>
      <c r="C23">
        <v>5</v>
      </c>
      <c r="D23">
        <f>3*SIN(0.5*C23)-0.5*C23+2</f>
        <v>1.2954164323118698</v>
      </c>
      <c r="E23">
        <v>1E-4</v>
      </c>
      <c r="G23" s="28"/>
      <c r="H23" s="28"/>
      <c r="I23" s="28"/>
      <c r="J23" s="28"/>
      <c r="K23" s="28"/>
      <c r="L23" s="28"/>
    </row>
    <row r="24" spans="1:12" x14ac:dyDescent="0.3">
      <c r="B24">
        <v>1</v>
      </c>
      <c r="C24">
        <v>6</v>
      </c>
      <c r="D24">
        <f>3*SIN(0.5*C24)-0.5*C24+2</f>
        <v>-0.57663997582039839</v>
      </c>
      <c r="G24" s="28"/>
      <c r="H24" s="28"/>
      <c r="I24" s="28"/>
      <c r="J24" s="28"/>
      <c r="K24" s="28"/>
      <c r="L24" s="28"/>
    </row>
    <row r="25" spans="1:12" x14ac:dyDescent="0.3">
      <c r="B25">
        <v>2</v>
      </c>
      <c r="C25">
        <f>C24-((D24*(C24-C23))/(D24-D23))</f>
        <v>5.6919751064575523</v>
      </c>
      <c r="D25">
        <f t="shared" ref="D25:D27" si="0">3*SIN(0.5*C25)-0.5*C25+2</f>
        <v>2.7968721321341095E-2</v>
      </c>
      <c r="G25" s="28"/>
      <c r="H25" s="28"/>
      <c r="I25" s="28"/>
      <c r="J25" s="28"/>
      <c r="K25" s="28"/>
      <c r="L25" s="28"/>
    </row>
    <row r="26" spans="1:12" x14ac:dyDescent="0.3">
      <c r="B26">
        <v>3</v>
      </c>
      <c r="C26">
        <f t="shared" ref="C26:C27" si="1">C25-((D25*(C25-C24))/(D25-D24))</f>
        <v>5.7062240950153615</v>
      </c>
      <c r="D26">
        <f t="shared" si="0"/>
        <v>3.7578953277472849E-4</v>
      </c>
      <c r="G26" s="28"/>
      <c r="H26" s="28"/>
      <c r="I26" s="28"/>
      <c r="J26" s="28"/>
      <c r="K26" s="28"/>
      <c r="L26" s="28"/>
    </row>
    <row r="27" spans="1:12" x14ac:dyDescent="0.3">
      <c r="B27">
        <v>4</v>
      </c>
      <c r="C27" s="7">
        <f t="shared" si="1"/>
        <v>5.7064181527107776</v>
      </c>
      <c r="D27">
        <f t="shared" si="0"/>
        <v>-3.0137685236297784E-7</v>
      </c>
      <c r="G27" s="28"/>
      <c r="H27" s="28"/>
      <c r="I27" s="28"/>
      <c r="J27" s="28"/>
      <c r="K27" s="28"/>
      <c r="L27" s="28"/>
    </row>
    <row r="28" spans="1:12" x14ac:dyDescent="0.3">
      <c r="B28" s="28"/>
      <c r="C28" s="29"/>
      <c r="D28" s="28"/>
      <c r="G28" s="28"/>
      <c r="H28" s="28"/>
      <c r="I28" s="28"/>
      <c r="J28" s="28"/>
      <c r="K28" s="28"/>
      <c r="L28" s="28"/>
    </row>
    <row r="30" spans="1:12" x14ac:dyDescent="0.3">
      <c r="B30" s="22" t="s">
        <v>12</v>
      </c>
      <c r="C30" s="22"/>
      <c r="D30" s="22"/>
      <c r="E30" s="22"/>
      <c r="F30" s="22"/>
      <c r="G30" s="22"/>
    </row>
    <row r="31" spans="1:12" x14ac:dyDescent="0.3">
      <c r="C31" s="16" t="s">
        <v>22</v>
      </c>
      <c r="D31" s="20">
        <f>ABS($D$7-C27)/ABS($D$7)*100</f>
        <v>2.7251907880719531E-6</v>
      </c>
      <c r="E31" s="20"/>
      <c r="F31" s="20"/>
      <c r="G31" s="32"/>
    </row>
    <row r="32" spans="1:12" x14ac:dyDescent="0.3">
      <c r="B32" s="11"/>
      <c r="C32" s="16"/>
      <c r="D32" s="20"/>
      <c r="E32" s="20"/>
      <c r="F32" s="20"/>
      <c r="G32" s="32"/>
    </row>
    <row r="35" spans="2:2" ht="23.4" x14ac:dyDescent="0.45">
      <c r="B35" s="4"/>
    </row>
  </sheetData>
  <mergeCells count="12">
    <mergeCell ref="D31:F32"/>
    <mergeCell ref="C31:C32"/>
    <mergeCell ref="B30:G30"/>
    <mergeCell ref="B15:C15"/>
    <mergeCell ref="I16:L19"/>
    <mergeCell ref="B17:G17"/>
    <mergeCell ref="B18:G19"/>
    <mergeCell ref="B11:G12"/>
    <mergeCell ref="B10:G10"/>
    <mergeCell ref="B6:G6"/>
    <mergeCell ref="C7:C8"/>
    <mergeCell ref="D7:F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B6DEE-50FD-4CB9-97D5-BD81BBC974F2}">
  <dimension ref="B6:O56"/>
  <sheetViews>
    <sheetView tabSelected="1" zoomScale="98" zoomScaleNormal="98" workbookViewId="0">
      <selection activeCell="M57" sqref="M57"/>
    </sheetView>
  </sheetViews>
  <sheetFormatPr baseColWidth="10" defaultRowHeight="14.4" x14ac:dyDescent="0.3"/>
  <cols>
    <col min="2" max="2" width="11.5546875" customWidth="1"/>
    <col min="3" max="3" width="12.77734375" bestFit="1" customWidth="1"/>
    <col min="4" max="4" width="13.109375" bestFit="1" customWidth="1"/>
    <col min="5" max="6" width="11.77734375" bestFit="1" customWidth="1"/>
    <col min="8" max="8" width="11.6640625" bestFit="1" customWidth="1"/>
    <col min="9" max="9" width="11.88671875" bestFit="1" customWidth="1"/>
    <col min="10" max="10" width="13.109375" bestFit="1" customWidth="1"/>
    <col min="11" max="13" width="11.77734375" bestFit="1" customWidth="1"/>
  </cols>
  <sheetData>
    <row r="6" spans="2:7" x14ac:dyDescent="0.3">
      <c r="B6" s="14" t="s">
        <v>0</v>
      </c>
      <c r="C6" s="14"/>
      <c r="D6" s="14"/>
      <c r="E6" s="14"/>
      <c r="F6" s="14"/>
      <c r="G6" s="14"/>
    </row>
    <row r="7" spans="2:7" x14ac:dyDescent="0.3">
      <c r="C7" s="16" t="s">
        <v>20</v>
      </c>
      <c r="D7" s="26">
        <v>5.7064179972</v>
      </c>
      <c r="E7" s="26"/>
      <c r="F7" s="26"/>
      <c r="G7" s="11"/>
    </row>
    <row r="8" spans="2:7" x14ac:dyDescent="0.3">
      <c r="B8" s="11"/>
      <c r="C8" s="16"/>
      <c r="D8" s="26"/>
      <c r="E8" s="26"/>
      <c r="F8" s="26"/>
      <c r="G8" s="11"/>
    </row>
    <row r="10" spans="2:7" x14ac:dyDescent="0.3">
      <c r="B10" s="14" t="s">
        <v>1</v>
      </c>
      <c r="C10" s="14"/>
      <c r="D10" s="14"/>
      <c r="E10" s="14"/>
      <c r="F10" s="14"/>
      <c r="G10" s="14"/>
    </row>
    <row r="11" spans="2:7" x14ac:dyDescent="0.3">
      <c r="B11" s="15"/>
      <c r="C11" s="15"/>
      <c r="D11" s="15"/>
      <c r="E11" s="15"/>
      <c r="F11" s="15"/>
      <c r="G11" s="15"/>
    </row>
    <row r="12" spans="2:7" x14ac:dyDescent="0.3">
      <c r="B12" s="15"/>
      <c r="C12" s="15"/>
      <c r="D12" s="15"/>
      <c r="E12" s="15"/>
      <c r="F12" s="15"/>
      <c r="G12" s="15"/>
    </row>
    <row r="14" spans="2:7" ht="23.4" x14ac:dyDescent="0.45">
      <c r="B14" s="4" t="s">
        <v>24</v>
      </c>
    </row>
    <row r="36" spans="2:2" ht="23.4" x14ac:dyDescent="0.45">
      <c r="B36" s="4" t="s">
        <v>23</v>
      </c>
    </row>
    <row r="55" spans="3:15" x14ac:dyDescent="0.3">
      <c r="C55" s="23" t="s">
        <v>25</v>
      </c>
      <c r="D55" s="23"/>
      <c r="E55" s="23"/>
      <c r="H55" s="24" t="s">
        <v>26</v>
      </c>
      <c r="I55" s="24"/>
      <c r="J55" s="24"/>
      <c r="M55" s="23" t="s">
        <v>27</v>
      </c>
      <c r="N55" s="23"/>
      <c r="O55" s="23"/>
    </row>
    <row r="56" spans="3:15" x14ac:dyDescent="0.3">
      <c r="C56" s="23"/>
      <c r="D56" s="23"/>
      <c r="E56" s="23"/>
      <c r="H56" s="24"/>
      <c r="I56" s="24"/>
      <c r="J56" s="24"/>
      <c r="M56" s="23"/>
      <c r="N56" s="23"/>
      <c r="O56" s="23"/>
    </row>
  </sheetData>
  <mergeCells count="8">
    <mergeCell ref="M55:O56"/>
    <mergeCell ref="C55:E56"/>
    <mergeCell ref="H55:J56"/>
    <mergeCell ref="B11:G12"/>
    <mergeCell ref="B6:G6"/>
    <mergeCell ref="B10:G10"/>
    <mergeCell ref="C7:C8"/>
    <mergeCell ref="D7:F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EJ2_BISECCION</vt:lpstr>
      <vt:lpstr>EJ2_NEWTON</vt:lpstr>
      <vt:lpstr>EJ2_SECANTE</vt:lpstr>
      <vt:lpstr>EJ2_GRAFICOS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</dc:creator>
  <cp:lastModifiedBy>MICHELLE</cp:lastModifiedBy>
  <dcterms:created xsi:type="dcterms:W3CDTF">2025-11-20T01:41:21Z</dcterms:created>
  <dcterms:modified xsi:type="dcterms:W3CDTF">2025-11-21T20:22:55Z</dcterms:modified>
</cp:coreProperties>
</file>