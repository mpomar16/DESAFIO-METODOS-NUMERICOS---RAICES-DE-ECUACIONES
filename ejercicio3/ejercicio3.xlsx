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raices\ejercicio3\"/>
    </mc:Choice>
  </mc:AlternateContent>
  <xr:revisionPtr revIDLastSave="0" documentId="13_ncr:1_{6348E4C5-3A77-4B85-8892-AD773CE39579}" xr6:coauthVersionLast="47" xr6:coauthVersionMax="47" xr10:uidLastSave="{00000000-0000-0000-0000-000000000000}"/>
  <bookViews>
    <workbookView xWindow="-108" yWindow="-108" windowWidth="23256" windowHeight="12456" activeTab="3" xr2:uid="{9B82493B-48CC-4ECE-B3A9-CD54E9735952}"/>
  </bookViews>
  <sheets>
    <sheet name="EJ3_BISECCION" sheetId="1" r:id="rId1"/>
    <sheet name="EJ3_NEWTON" sheetId="3" r:id="rId2"/>
    <sheet name="EJ3_SECANTE" sheetId="5" r:id="rId3"/>
    <sheet name="EJ3_GRAFICOS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4" i="5" l="1"/>
  <c r="F34" i="5"/>
  <c r="C34" i="5"/>
  <c r="N24" i="5"/>
  <c r="N23" i="5"/>
  <c r="I24" i="5"/>
  <c r="I23" i="5"/>
  <c r="D24" i="5"/>
  <c r="D23" i="5"/>
  <c r="I35" i="3"/>
  <c r="F35" i="3"/>
  <c r="C35" i="3"/>
  <c r="Q27" i="3"/>
  <c r="P27" i="3"/>
  <c r="O28" i="3" s="1"/>
  <c r="K27" i="3"/>
  <c r="J27" i="3"/>
  <c r="I28" i="3" s="1"/>
  <c r="E29" i="3"/>
  <c r="D29" i="3"/>
  <c r="E28" i="3"/>
  <c r="D28" i="3"/>
  <c r="C28" i="3"/>
  <c r="E27" i="3"/>
  <c r="D27" i="3"/>
  <c r="I40" i="1"/>
  <c r="F40" i="1"/>
  <c r="C40" i="1"/>
  <c r="E36" i="1"/>
  <c r="O22" i="1"/>
  <c r="Y22" i="1"/>
  <c r="X22" i="1"/>
  <c r="W22" i="1"/>
  <c r="Z22" i="1" s="1"/>
  <c r="P22" i="1"/>
  <c r="N22" i="1"/>
  <c r="Q22" i="1" s="1"/>
  <c r="G22" i="1"/>
  <c r="F22" i="1"/>
  <c r="M25" i="5" l="1"/>
  <c r="H25" i="5"/>
  <c r="I25" i="5" s="1"/>
  <c r="H26" i="5" s="1"/>
  <c r="Q28" i="3"/>
  <c r="O29" i="3" s="1"/>
  <c r="P28" i="3"/>
  <c r="K28" i="3"/>
  <c r="J28" i="3"/>
  <c r="V23" i="1"/>
  <c r="Y23" i="1" s="1"/>
  <c r="U23" i="1"/>
  <c r="M23" i="1"/>
  <c r="P23" i="1" s="1"/>
  <c r="L23" i="1"/>
  <c r="C25" i="5"/>
  <c r="D25" i="5" s="1"/>
  <c r="N25" i="5" l="1"/>
  <c r="M26" i="5" s="1"/>
  <c r="N26" i="5" s="1"/>
  <c r="M27" i="5" s="1"/>
  <c r="I26" i="5"/>
  <c r="H27" i="5" s="1"/>
  <c r="P29" i="3"/>
  <c r="Q29" i="3"/>
  <c r="X23" i="1"/>
  <c r="W23" i="1"/>
  <c r="Z23" i="1" s="1"/>
  <c r="O23" i="1"/>
  <c r="N23" i="1"/>
  <c r="Q23" i="1" s="1"/>
  <c r="E22" i="1"/>
  <c r="N27" i="5" l="1"/>
  <c r="M28" i="5" s="1"/>
  <c r="I27" i="5"/>
  <c r="H28" i="5" s="1"/>
  <c r="V24" i="1"/>
  <c r="Y24" i="1" s="1"/>
  <c r="U24" i="1"/>
  <c r="L24" i="1"/>
  <c r="M24" i="1"/>
  <c r="P24" i="1" s="1"/>
  <c r="H22" i="1"/>
  <c r="D23" i="1" s="1"/>
  <c r="G23" i="1" s="1"/>
  <c r="C29" i="3"/>
  <c r="C23" i="1"/>
  <c r="F23" i="1" s="1"/>
  <c r="N28" i="5" l="1"/>
  <c r="M29" i="5" s="1"/>
  <c r="I28" i="5"/>
  <c r="W24" i="1"/>
  <c r="Z24" i="1" s="1"/>
  <c r="X24" i="1"/>
  <c r="O24" i="1"/>
  <c r="N24" i="1"/>
  <c r="Q24" i="1" s="1"/>
  <c r="C26" i="5"/>
  <c r="E23" i="1"/>
  <c r="D26" i="5" l="1"/>
  <c r="C27" i="5" s="1"/>
  <c r="N29" i="5"/>
  <c r="M30" i="5" s="1"/>
  <c r="N30" i="5" s="1"/>
  <c r="U25" i="1"/>
  <c r="V25" i="1"/>
  <c r="Y25" i="1" s="1"/>
  <c r="M25" i="1"/>
  <c r="P25" i="1" s="1"/>
  <c r="L25" i="1"/>
  <c r="H23" i="1"/>
  <c r="C24" i="1" s="1"/>
  <c r="F24" i="1" s="1"/>
  <c r="D27" i="5" l="1"/>
  <c r="C28" i="5" s="1"/>
  <c r="W25" i="1"/>
  <c r="Z25" i="1" s="1"/>
  <c r="X25" i="1"/>
  <c r="O25" i="1"/>
  <c r="N25" i="1"/>
  <c r="Q25" i="1" s="1"/>
  <c r="D24" i="1"/>
  <c r="G24" i="1" s="1"/>
  <c r="D28" i="5" l="1"/>
  <c r="C29" i="5" s="1"/>
  <c r="D29" i="5" s="1"/>
  <c r="V26" i="1"/>
  <c r="Y26" i="1" s="1"/>
  <c r="U26" i="1"/>
  <c r="M26" i="1"/>
  <c r="P26" i="1" s="1"/>
  <c r="L26" i="1"/>
  <c r="E24" i="1"/>
  <c r="H24" i="1" s="1"/>
  <c r="D25" i="1" s="1"/>
  <c r="G25" i="1" s="1"/>
  <c r="W26" i="1" l="1"/>
  <c r="Z26" i="1" s="1"/>
  <c r="X26" i="1"/>
  <c r="O26" i="1"/>
  <c r="N26" i="1"/>
  <c r="Q26" i="1" s="1"/>
  <c r="C25" i="1"/>
  <c r="F25" i="1" s="1"/>
  <c r="U27" i="1" l="1"/>
  <c r="V27" i="1"/>
  <c r="Y27" i="1" s="1"/>
  <c r="M27" i="1"/>
  <c r="P27" i="1" s="1"/>
  <c r="L27" i="1"/>
  <c r="E25" i="1"/>
  <c r="X27" i="1" l="1"/>
  <c r="W27" i="1"/>
  <c r="Z27" i="1" s="1"/>
  <c r="O27" i="1"/>
  <c r="N27" i="1"/>
  <c r="Q27" i="1" s="1"/>
  <c r="H25" i="1"/>
  <c r="C26" i="1" s="1"/>
  <c r="F26" i="1" s="1"/>
  <c r="V28" i="1" l="1"/>
  <c r="Y28" i="1" s="1"/>
  <c r="U28" i="1"/>
  <c r="L28" i="1"/>
  <c r="M28" i="1"/>
  <c r="P28" i="1" s="1"/>
  <c r="D26" i="1"/>
  <c r="G26" i="1" s="1"/>
  <c r="W28" i="1" l="1"/>
  <c r="Z28" i="1" s="1"/>
  <c r="X28" i="1"/>
  <c r="O28" i="1"/>
  <c r="N28" i="1"/>
  <c r="Q28" i="1" s="1"/>
  <c r="E26" i="1"/>
  <c r="H26" i="1" s="1"/>
  <c r="D27" i="1" s="1"/>
  <c r="G27" i="1" s="1"/>
  <c r="V29" i="1" l="1"/>
  <c r="Y29" i="1" s="1"/>
  <c r="U29" i="1"/>
  <c r="L29" i="1"/>
  <c r="M29" i="1"/>
  <c r="P29" i="1" s="1"/>
  <c r="C27" i="1"/>
  <c r="X29" i="1" l="1"/>
  <c r="W29" i="1"/>
  <c r="Z29" i="1" s="1"/>
  <c r="O29" i="1"/>
  <c r="N29" i="1"/>
  <c r="Q29" i="1" s="1"/>
  <c r="F27" i="1"/>
  <c r="E27" i="1"/>
  <c r="V30" i="1" l="1"/>
  <c r="Y30" i="1" s="1"/>
  <c r="U30" i="1"/>
  <c r="M30" i="1"/>
  <c r="P30" i="1" s="1"/>
  <c r="L30" i="1"/>
  <c r="H27" i="1"/>
  <c r="C28" i="1" s="1"/>
  <c r="W30" i="1" l="1"/>
  <c r="Z30" i="1" s="1"/>
  <c r="X30" i="1"/>
  <c r="O30" i="1"/>
  <c r="N30" i="1"/>
  <c r="Q30" i="1" s="1"/>
  <c r="F28" i="1"/>
  <c r="D28" i="1"/>
  <c r="G28" i="1" s="1"/>
  <c r="U31" i="1" l="1"/>
  <c r="V31" i="1"/>
  <c r="Y31" i="1" s="1"/>
  <c r="M31" i="1"/>
  <c r="P31" i="1" s="1"/>
  <c r="L31" i="1"/>
  <c r="E28" i="1"/>
  <c r="X31" i="1" l="1"/>
  <c r="W31" i="1"/>
  <c r="Z31" i="1" s="1"/>
  <c r="O31" i="1"/>
  <c r="N31" i="1"/>
  <c r="Q31" i="1" s="1"/>
  <c r="H28" i="1"/>
  <c r="D29" i="1" s="1"/>
  <c r="G29" i="1" s="1"/>
  <c r="V32" i="1" l="1"/>
  <c r="Y32" i="1" s="1"/>
  <c r="U32" i="1"/>
  <c r="M32" i="1"/>
  <c r="P32" i="1" s="1"/>
  <c r="L32" i="1"/>
  <c r="C29" i="1"/>
  <c r="F29" i="1" s="1"/>
  <c r="W32" i="1" l="1"/>
  <c r="Z32" i="1" s="1"/>
  <c r="X32" i="1"/>
  <c r="O32" i="1"/>
  <c r="N32" i="1"/>
  <c r="Q32" i="1" s="1"/>
  <c r="E29" i="1"/>
  <c r="H29" i="1" s="1"/>
  <c r="D30" i="1" s="1"/>
  <c r="G30" i="1" s="1"/>
  <c r="C30" i="1"/>
  <c r="U33" i="1" l="1"/>
  <c r="V33" i="1"/>
  <c r="Y33" i="1" s="1"/>
  <c r="L33" i="1"/>
  <c r="M33" i="1"/>
  <c r="P33" i="1" s="1"/>
  <c r="F30" i="1"/>
  <c r="E30" i="1"/>
  <c r="H30" i="1" s="1"/>
  <c r="X33" i="1" l="1"/>
  <c r="W33" i="1"/>
  <c r="Z33" i="1" s="1"/>
  <c r="O33" i="1"/>
  <c r="N33" i="1"/>
  <c r="Q33" i="1" s="1"/>
  <c r="C31" i="1"/>
  <c r="D31" i="1"/>
  <c r="G31" i="1" s="1"/>
  <c r="V34" i="1" l="1"/>
  <c r="Y34" i="1" s="1"/>
  <c r="U34" i="1"/>
  <c r="M34" i="1"/>
  <c r="P34" i="1" s="1"/>
  <c r="L34" i="1"/>
  <c r="F31" i="1"/>
  <c r="E31" i="1"/>
  <c r="H31" i="1" s="1"/>
  <c r="W34" i="1" l="1"/>
  <c r="Z34" i="1" s="1"/>
  <c r="X34" i="1"/>
  <c r="O34" i="1"/>
  <c r="N34" i="1"/>
  <c r="Q34" i="1" s="1"/>
  <c r="D32" i="1"/>
  <c r="G32" i="1" s="1"/>
  <c r="C32" i="1"/>
  <c r="V35" i="1" l="1"/>
  <c r="Y35" i="1" s="1"/>
  <c r="U35" i="1"/>
  <c r="M35" i="1"/>
  <c r="P35" i="1" s="1"/>
  <c r="L35" i="1"/>
  <c r="E32" i="1"/>
  <c r="H32" i="1" s="1"/>
  <c r="F32" i="1"/>
  <c r="X35" i="1" l="1"/>
  <c r="W35" i="1"/>
  <c r="Z35" i="1" s="1"/>
  <c r="O35" i="1"/>
  <c r="N35" i="1"/>
  <c r="Q35" i="1" s="1"/>
  <c r="C33" i="1"/>
  <c r="D33" i="1"/>
  <c r="G33" i="1" s="1"/>
  <c r="V36" i="1" l="1"/>
  <c r="Y36" i="1" s="1"/>
  <c r="U36" i="1"/>
  <c r="F33" i="1"/>
  <c r="E33" i="1"/>
  <c r="H33" i="1" s="1"/>
  <c r="W36" i="1" l="1"/>
  <c r="Z36" i="1" s="1"/>
  <c r="X36" i="1"/>
  <c r="D34" i="1"/>
  <c r="G34" i="1" s="1"/>
  <c r="C34" i="1"/>
  <c r="E34" i="1" l="1"/>
  <c r="F34" i="1"/>
  <c r="H34" i="1" l="1"/>
  <c r="D35" i="1" s="1"/>
  <c r="G35" i="1" s="1"/>
  <c r="C35" i="1" l="1"/>
  <c r="E35" i="1" l="1"/>
  <c r="H35" i="1" s="1"/>
  <c r="F35" i="1"/>
  <c r="C36" i="1" l="1"/>
  <c r="D36" i="1"/>
  <c r="G36" i="1" s="1"/>
  <c r="H36" i="1" l="1"/>
  <c r="F36" i="1"/>
</calcChain>
</file>

<file path=xl/sharedStrings.xml><?xml version="1.0" encoding="utf-8"?>
<sst xmlns="http://schemas.openxmlformats.org/spreadsheetml/2006/main" count="107" uniqueCount="41">
  <si>
    <t>SOLUCION EXACTA:</t>
  </si>
  <si>
    <t>FUNCION:</t>
  </si>
  <si>
    <t>BISECCION</t>
  </si>
  <si>
    <t>INTERVALO INICIAL:</t>
  </si>
  <si>
    <t>#</t>
  </si>
  <si>
    <t>a</t>
  </si>
  <si>
    <t>b</t>
  </si>
  <si>
    <t>f(a)</t>
  </si>
  <si>
    <t>f(b)</t>
  </si>
  <si>
    <t>f(m)</t>
  </si>
  <si>
    <t>tol</t>
  </si>
  <si>
    <t>m</t>
  </si>
  <si>
    <t>Newton-Raphson</t>
  </si>
  <si>
    <t>VALOR INICIAL:</t>
  </si>
  <si>
    <t>DERIVADA:</t>
  </si>
  <si>
    <t>Secante</t>
  </si>
  <si>
    <t>f(x)</t>
  </si>
  <si>
    <t>f'(x)</t>
  </si>
  <si>
    <t>GRAFICO DE LA FUNCION</t>
  </si>
  <si>
    <t>x1=</t>
  </si>
  <si>
    <t>x2=</t>
  </si>
  <si>
    <t>x3=</t>
  </si>
  <si>
    <t>ERROR RELATIVO % PARA x1, x2 y x3</t>
  </si>
  <si>
    <t>error_x1=</t>
  </si>
  <si>
    <t>error_x2=</t>
  </si>
  <si>
    <t>error_x3=</t>
  </si>
  <si>
    <t>x1</t>
  </si>
  <si>
    <t>x2</t>
  </si>
  <si>
    <t>x3</t>
  </si>
  <si>
    <t>COMPARACION ENTRE METODOS - APROXIMACION x1</t>
  </si>
  <si>
    <t>COMPARACION ENTRE METODOS - APROXIMACION x2</t>
  </si>
  <si>
    <t>COMPARACION ENTRE METODOS - APROXIMACION x3</t>
  </si>
  <si>
    <t>En biseccion se necesito de 14 iteraciones y el error fue aprox  0,05%</t>
  </si>
  <si>
    <t>En biseccion se necesito de 13 iteraciones y el error fue aprox  0,7%</t>
  </si>
  <si>
    <t>En biseccion se necesito de 14 iteraciones y el error fue aprox  0,01%</t>
  </si>
  <si>
    <t>En newton se necesito de 2 iteraciones y el error fue aprox  0,01%</t>
  </si>
  <si>
    <t>En newton se necesito de 1 iteracion y el error fue aprox  0,7%</t>
  </si>
  <si>
    <t>En newton se necesito de 2 iteraciones y el error fue aprox  0,0007%</t>
  </si>
  <si>
    <t>En secante se necesito de 6 iteraciones y el error fue aprox  0,02%</t>
  </si>
  <si>
    <t>En secante se necesito de 5 iteraciones y el error fue aprox  0,02%</t>
  </si>
  <si>
    <t>En secante se necesito de 7 iteraciones y el error fue aprox  0,0001%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</si>
</sst>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000000E+00"/>
    <numFmt numFmtId="166" formatCode="0.00000000%"/>
    <numFmt numFmtId="189" formatCode="0.0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B3E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3" borderId="0" xfId="0" applyFont="1" applyFill="1" applyAlignment="1">
      <alignment horizontal="center"/>
    </xf>
    <xf numFmtId="0" fontId="2" fillId="5" borderId="0" xfId="0" applyFont="1" applyFill="1"/>
    <xf numFmtId="164" fontId="0" fillId="0" borderId="0" xfId="0" applyNumberFormat="1"/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66" fontId="0" fillId="0" borderId="0" xfId="1" applyNumberFormat="1" applyFont="1" applyFill="1" applyAlignment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4" borderId="0" xfId="0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2" fillId="0" borderId="0" xfId="0" applyFont="1" applyFill="1"/>
    <xf numFmtId="0" fontId="0" fillId="0" borderId="0" xfId="0" applyFont="1" applyFill="1"/>
    <xf numFmtId="0" fontId="0" fillId="0" borderId="0" xfId="2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89" fontId="0" fillId="0" borderId="0" xfId="1" applyNumberFormat="1" applyFont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ill="1"/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7B3E5"/>
      <color rgb="FFFF99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319424</xdr:colOff>
      <xdr:row>15</xdr:row>
      <xdr:rowOff>56335</xdr:rowOff>
    </xdr:from>
    <xdr:to>
      <xdr:col>9</xdr:col>
      <xdr:colOff>307588</xdr:colOff>
      <xdr:row>17</xdr:row>
      <xdr:rowOff>148699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1D0AC65-46B6-569F-54F7-EC1765E1A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9381" y="2966526"/>
          <a:ext cx="945994" cy="465258"/>
        </a:xfrm>
        <a:prstGeom prst="rect">
          <a:avLst/>
        </a:prstGeom>
      </xdr:spPr>
    </xdr:pic>
    <xdr:clientData/>
  </xdr:twoCellAnchor>
  <xdr:twoCellAnchor editAs="oneCell">
    <xdr:from>
      <xdr:col>0</xdr:col>
      <xdr:colOff>793327</xdr:colOff>
      <xdr:row>1</xdr:row>
      <xdr:rowOff>76199</xdr:rowOff>
    </xdr:from>
    <xdr:to>
      <xdr:col>7</xdr:col>
      <xdr:colOff>453373</xdr:colOff>
      <xdr:row>3</xdr:row>
      <xdr:rowOff>92440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2D751C-5F5C-41A1-956D-14D4E6D27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5" t="64205" r="3925" b="19553"/>
        <a:stretch>
          <a:fillRect/>
        </a:stretch>
      </xdr:blipFill>
      <xdr:spPr bwMode="auto">
        <a:xfrm>
          <a:off x="793327" y="262466"/>
          <a:ext cx="5434313" cy="388774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506459</xdr:colOff>
      <xdr:row>10</xdr:row>
      <xdr:rowOff>65424</xdr:rowOff>
    </xdr:from>
    <xdr:to>
      <xdr:col>5</xdr:col>
      <xdr:colOff>625842</xdr:colOff>
      <xdr:row>11</xdr:row>
      <xdr:rowOff>138546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997460D-95DE-3EB5-C8E1-B94B58D28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2035" y="1912697"/>
          <a:ext cx="2705565" cy="257849"/>
        </a:xfrm>
        <a:prstGeom prst="rect">
          <a:avLst/>
        </a:prstGeom>
      </xdr:spPr>
    </xdr:pic>
    <xdr:clientData/>
  </xdr:twoCellAnchor>
  <xdr:oneCellAnchor>
    <xdr:from>
      <xdr:col>1</xdr:col>
      <xdr:colOff>327890</xdr:colOff>
      <xdr:row>16</xdr:row>
      <xdr:rowOff>131618</xdr:rowOff>
    </xdr:from>
    <xdr:ext cx="913905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FE1A21E1-41A2-8D83-F282-A2B841CEF3FB}"/>
                </a:ext>
              </a:extLst>
            </xdr:cNvPr>
            <xdr:cNvSpPr txBox="1"/>
          </xdr:nvSpPr>
          <xdr:spPr>
            <a:xfrm>
              <a:off x="1120678" y="3202709"/>
              <a:ext cx="91390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[</m:t>
                    </m:r>
                    <m:r>
                      <m:rPr>
                        <m:sty m:val="p"/>
                      </m:rPr>
                      <a:rPr lang="en-US" sz="1100" b="0" i="1">
                        <a:latin typeface="Cambria Math" panose="02040503050406030204" pitchFamily="18" charset="0"/>
                      </a:rPr>
                      <m:t>a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r>
                      <m:rPr>
                        <m:sty m:val="p"/>
                      </m:rPr>
                      <a:rPr lang="en-US" sz="1100" b="0" i="1">
                        <a:latin typeface="Cambria Math" panose="02040503050406030204" pitchFamily="18" charset="0"/>
                      </a:rPr>
                      <m:t>b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]=[-2,-1]</m:t>
                    </m:r>
                  </m:oMath>
                </m:oMathPara>
              </a14:m>
              <a:endParaRPr lang="es-ES" sz="1100"/>
            </a:p>
          </xdr:txBody>
        </xdr:sp>
      </mc:Choice>
      <mc:Fallback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FE1A21E1-41A2-8D83-F282-A2B841CEF3FB}"/>
                </a:ext>
              </a:extLst>
            </xdr:cNvPr>
            <xdr:cNvSpPr txBox="1"/>
          </xdr:nvSpPr>
          <xdr:spPr>
            <a:xfrm>
              <a:off x="1120678" y="3202709"/>
              <a:ext cx="91390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[a,b]=[-2,-1]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310958</xdr:colOff>
      <xdr:row>16</xdr:row>
      <xdr:rowOff>99291</xdr:rowOff>
    </xdr:from>
    <xdr:ext cx="79675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6A1A2C92-1497-415F-AAA6-3349F80FDD64}"/>
                </a:ext>
              </a:extLst>
            </xdr:cNvPr>
            <xdr:cNvSpPr txBox="1"/>
          </xdr:nvSpPr>
          <xdr:spPr>
            <a:xfrm>
              <a:off x="2773988" y="3170382"/>
              <a:ext cx="7967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[</m:t>
                    </m:r>
                    <m:r>
                      <m:rPr>
                        <m:sty m:val="p"/>
                      </m:rPr>
                      <a:rPr lang="en-US" sz="1100" b="0" i="1">
                        <a:latin typeface="Cambria Math" panose="02040503050406030204" pitchFamily="18" charset="0"/>
                      </a:rPr>
                      <m:t>a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r>
                      <m:rPr>
                        <m:sty m:val="p"/>
                      </m:rPr>
                      <a:rPr lang="en-US" sz="1100" b="0" i="1">
                        <a:latin typeface="Cambria Math" panose="02040503050406030204" pitchFamily="18" charset="0"/>
                      </a:rPr>
                      <m:t>b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]=[0,1]</m:t>
                    </m:r>
                  </m:oMath>
                </m:oMathPara>
              </a14:m>
              <a:endParaRPr lang="es-ES" sz="1100"/>
            </a:p>
          </xdr:txBody>
        </xdr:sp>
      </mc:Choice>
      <mc:Fallback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6A1A2C92-1497-415F-AAA6-3349F80FDD64}"/>
                </a:ext>
              </a:extLst>
            </xdr:cNvPr>
            <xdr:cNvSpPr txBox="1"/>
          </xdr:nvSpPr>
          <xdr:spPr>
            <a:xfrm>
              <a:off x="2773988" y="3170382"/>
              <a:ext cx="7967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[a,b]=[0,1]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5</xdr:col>
      <xdr:colOff>218594</xdr:colOff>
      <xdr:row>16</xdr:row>
      <xdr:rowOff>91594</xdr:rowOff>
    </xdr:from>
    <xdr:ext cx="79675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FB4C5471-D6E3-456C-BD98-FBB361A09685}"/>
                </a:ext>
              </a:extLst>
            </xdr:cNvPr>
            <xdr:cNvSpPr txBox="1"/>
          </xdr:nvSpPr>
          <xdr:spPr>
            <a:xfrm>
              <a:off x="4390352" y="3162685"/>
              <a:ext cx="7967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[</m:t>
                    </m:r>
                    <m:r>
                      <m:rPr>
                        <m:sty m:val="p"/>
                      </m:rPr>
                      <a:rPr lang="en-US" sz="1100" b="0" i="1">
                        <a:latin typeface="Cambria Math" panose="02040503050406030204" pitchFamily="18" charset="0"/>
                      </a:rPr>
                      <m:t>a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r>
                      <m:rPr>
                        <m:sty m:val="p"/>
                      </m:rPr>
                      <a:rPr lang="en-US" sz="1100" b="0" i="1">
                        <a:latin typeface="Cambria Math" panose="02040503050406030204" pitchFamily="18" charset="0"/>
                      </a:rPr>
                      <m:t>b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]=[1,2]</m:t>
                    </m:r>
                  </m:oMath>
                </m:oMathPara>
              </a14:m>
              <a:endParaRPr lang="es-ES" sz="1100"/>
            </a:p>
          </xdr:txBody>
        </xdr:sp>
      </mc:Choice>
      <mc:Fallback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FB4C5471-D6E3-456C-BD98-FBB361A09685}"/>
                </a:ext>
              </a:extLst>
            </xdr:cNvPr>
            <xdr:cNvSpPr txBox="1"/>
          </xdr:nvSpPr>
          <xdr:spPr>
            <a:xfrm>
              <a:off x="4390352" y="3162685"/>
              <a:ext cx="7967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[a,b]=[1,2]</a:t>
              </a:r>
              <a:endParaRPr lang="es-E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255739</xdr:colOff>
      <xdr:row>16</xdr:row>
      <xdr:rowOff>62146</xdr:rowOff>
    </xdr:from>
    <xdr:to>
      <xdr:col>10</xdr:col>
      <xdr:colOff>421408</xdr:colOff>
      <xdr:row>19</xdr:row>
      <xdr:rowOff>125456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595A335-0A38-49F6-AF3F-B4DE5D7C1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4179" y="9068986"/>
          <a:ext cx="1880169" cy="611950"/>
        </a:xfrm>
        <a:prstGeom prst="rect">
          <a:avLst/>
        </a:prstGeom>
      </xdr:spPr>
    </xdr:pic>
    <xdr:clientData/>
  </xdr:twoCellAnchor>
  <xdr:twoCellAnchor editAs="oneCell">
    <xdr:from>
      <xdr:col>0</xdr:col>
      <xdr:colOff>793327</xdr:colOff>
      <xdr:row>1</xdr:row>
      <xdr:rowOff>76199</xdr:rowOff>
    </xdr:from>
    <xdr:to>
      <xdr:col>7</xdr:col>
      <xdr:colOff>453373</xdr:colOff>
      <xdr:row>3</xdr:row>
      <xdr:rowOff>92440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2D85ED-6741-4361-B345-97C571ED2E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5" t="64205" r="3925" b="19553"/>
        <a:stretch>
          <a:fillRect/>
        </a:stretch>
      </xdr:blipFill>
      <xdr:spPr bwMode="auto">
        <a:xfrm>
          <a:off x="793327" y="259079"/>
          <a:ext cx="5428386" cy="382001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506459</xdr:colOff>
      <xdr:row>10</xdr:row>
      <xdr:rowOff>65424</xdr:rowOff>
    </xdr:from>
    <xdr:to>
      <xdr:col>5</xdr:col>
      <xdr:colOff>625842</xdr:colOff>
      <xdr:row>11</xdr:row>
      <xdr:rowOff>138546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2B428C2-0411-42E6-8C7C-F0778369F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1419" y="1894224"/>
          <a:ext cx="2702563" cy="256002"/>
        </a:xfrm>
        <a:prstGeom prst="rect">
          <a:avLst/>
        </a:prstGeom>
      </xdr:spPr>
    </xdr:pic>
    <xdr:clientData/>
  </xdr:twoCellAnchor>
  <xdr:oneCellAnchor>
    <xdr:from>
      <xdr:col>2</xdr:col>
      <xdr:colOff>2</xdr:colOff>
      <xdr:row>17</xdr:row>
      <xdr:rowOff>87312</xdr:rowOff>
    </xdr:from>
    <xdr:ext cx="645305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C3153688-69EE-414F-971E-A1036274C915}"/>
                </a:ext>
              </a:extLst>
            </xdr:cNvPr>
            <xdr:cNvSpPr txBox="1"/>
          </xdr:nvSpPr>
          <xdr:spPr>
            <a:xfrm>
              <a:off x="1587502" y="3302000"/>
              <a:ext cx="64530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ES" sz="110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ES" sz="1100" i="1">
                        <a:latin typeface="Cambria Math" panose="02040503050406030204" pitchFamily="18" charset="0"/>
                      </a:rPr>
                      <m:t>=−1,2</m:t>
                    </m:r>
                  </m:oMath>
                </m:oMathPara>
              </a14:m>
              <a:endParaRPr lang="es-ES" sz="1100"/>
            </a:p>
          </xdr:txBody>
        </xdr:sp>
      </mc:Choice>
      <mc:Fallback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C3153688-69EE-414F-971E-A1036274C915}"/>
                </a:ext>
              </a:extLst>
            </xdr:cNvPr>
            <xdr:cNvSpPr txBox="1"/>
          </xdr:nvSpPr>
          <xdr:spPr>
            <a:xfrm>
              <a:off x="1587502" y="3302000"/>
              <a:ext cx="64530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i="0">
                  <a:latin typeface="Cambria Math" panose="02040503050406030204" pitchFamily="18" charset="0"/>
                </a:rPr>
                <a:t>𝑥_0=−1,2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454027</xdr:colOff>
      <xdr:row>17</xdr:row>
      <xdr:rowOff>80963</xdr:rowOff>
    </xdr:from>
    <xdr:ext cx="539891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DA6CF656-F79A-43BF-9408-DF4838102021}"/>
                </a:ext>
              </a:extLst>
            </xdr:cNvPr>
            <xdr:cNvSpPr txBox="1"/>
          </xdr:nvSpPr>
          <xdr:spPr>
            <a:xfrm>
              <a:off x="2914652" y="3295651"/>
              <a:ext cx="53989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ES" sz="110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E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0,3</m:t>
                    </m:r>
                  </m:oMath>
                </m:oMathPara>
              </a14:m>
              <a:endParaRPr lang="es-ES" sz="1100"/>
            </a:p>
          </xdr:txBody>
        </xdr:sp>
      </mc:Choice>
      <mc:Fallback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DA6CF656-F79A-43BF-9408-DF4838102021}"/>
                </a:ext>
              </a:extLst>
            </xdr:cNvPr>
            <xdr:cNvSpPr txBox="1"/>
          </xdr:nvSpPr>
          <xdr:spPr>
            <a:xfrm>
              <a:off x="2914652" y="3295651"/>
              <a:ext cx="53989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i="0">
                  <a:latin typeface="Cambria Math" panose="02040503050406030204" pitchFamily="18" charset="0"/>
                </a:rPr>
                <a:t>𝑥_0=</a:t>
              </a:r>
              <a:r>
                <a:rPr lang="en-US" sz="1100" b="0" i="0">
                  <a:latin typeface="Cambria Math" panose="02040503050406030204" pitchFamily="18" charset="0"/>
                </a:rPr>
                <a:t>0,3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5</xdr:col>
      <xdr:colOff>58739</xdr:colOff>
      <xdr:row>17</xdr:row>
      <xdr:rowOff>90487</xdr:rowOff>
    </xdr:from>
    <xdr:ext cx="539891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348F2136-EB37-41DC-9699-7FAE32A29097}"/>
                </a:ext>
              </a:extLst>
            </xdr:cNvPr>
            <xdr:cNvSpPr txBox="1"/>
          </xdr:nvSpPr>
          <xdr:spPr>
            <a:xfrm>
              <a:off x="4225927" y="3305175"/>
              <a:ext cx="53989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ES" sz="110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E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1,8</m:t>
                    </m:r>
                  </m:oMath>
                </m:oMathPara>
              </a14:m>
              <a:endParaRPr lang="es-ES" sz="1100"/>
            </a:p>
          </xdr:txBody>
        </xdr:sp>
      </mc:Choice>
      <mc:Fallback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348F2136-EB37-41DC-9699-7FAE32A29097}"/>
                </a:ext>
              </a:extLst>
            </xdr:cNvPr>
            <xdr:cNvSpPr txBox="1"/>
          </xdr:nvSpPr>
          <xdr:spPr>
            <a:xfrm>
              <a:off x="4225927" y="3305175"/>
              <a:ext cx="53989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i="0">
                  <a:latin typeface="Cambria Math" panose="02040503050406030204" pitchFamily="18" charset="0"/>
                </a:rPr>
                <a:t>𝑥_0=</a:t>
              </a:r>
              <a:r>
                <a:rPr lang="en-US" sz="1100" b="0" i="0">
                  <a:latin typeface="Cambria Math" panose="02040503050406030204" pitchFamily="18" charset="0"/>
                </a:rPr>
                <a:t>1,8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2</xdr:col>
      <xdr:colOff>574676</xdr:colOff>
      <xdr:row>21</xdr:row>
      <xdr:rowOff>70643</xdr:rowOff>
    </xdr:from>
    <xdr:ext cx="2304413" cy="22615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49C7E9E-A91B-A310-C349-51E1121C0D21}"/>
                </a:ext>
              </a:extLst>
            </xdr:cNvPr>
            <xdr:cNvSpPr txBox="1"/>
          </xdr:nvSpPr>
          <xdr:spPr>
            <a:xfrm>
              <a:off x="2162176" y="4015581"/>
              <a:ext cx="2304413" cy="2261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400" i="1">
                        <a:latin typeface="Cambria Math" panose="02040503050406030204" pitchFamily="18" charset="0"/>
                      </a:rPr>
                      <m:t>3</m:t>
                    </m:r>
                    <m:sSup>
                      <m:sSup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ES" sz="1400" i="1">
                        <a:latin typeface="Cambria Math" panose="02040503050406030204" pitchFamily="18" charset="0"/>
                      </a:rPr>
                      <m:t>−</m:t>
                    </m:r>
                    <m:d>
                      <m:d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−0.5</m:t>
                        </m:r>
                        <m:sSup>
                          <m:sSupPr>
                            <m:ctrlPr>
                              <a:rPr lang="es-ES" sz="14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4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s-ES" sz="14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  <m:sSup>
                      <m:sSup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ⅇ</m:t>
                        </m:r>
                      </m:e>
                      <m:sup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−0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.5</m:t>
                        </m:r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  <m:r>
                      <a:rPr lang="es-ES" sz="1400" i="1">
                        <a:latin typeface="Cambria Math" panose="02040503050406030204" pitchFamily="18" charset="0"/>
                      </a:rPr>
                      <m:t>−3</m:t>
                    </m:r>
                  </m:oMath>
                </m:oMathPara>
              </a14:m>
              <a:endParaRPr lang="es-ES" sz="1400"/>
            </a:p>
          </xdr:txBody>
        </xdr:sp>
      </mc:Choice>
      <mc:Fallback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49C7E9E-A91B-A310-C349-51E1121C0D21}"/>
                </a:ext>
              </a:extLst>
            </xdr:cNvPr>
            <xdr:cNvSpPr txBox="1"/>
          </xdr:nvSpPr>
          <xdr:spPr>
            <a:xfrm>
              <a:off x="2162176" y="4015581"/>
              <a:ext cx="2304413" cy="2261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400" i="0">
                  <a:latin typeface="Cambria Math" panose="02040503050406030204" pitchFamily="18" charset="0"/>
                </a:rPr>
                <a:t>3𝑥^2−(2𝑥−0.5𝑥^2 ) ⅇ^(−0</a:t>
              </a:r>
              <a:r>
                <a:rPr lang="en-US" sz="1400" b="0" i="0">
                  <a:latin typeface="Cambria Math" panose="02040503050406030204" pitchFamily="18" charset="0"/>
                </a:rPr>
                <a:t>.5</a:t>
              </a:r>
              <a:r>
                <a:rPr lang="es-ES" sz="1400" i="0">
                  <a:latin typeface="Cambria Math" panose="02040503050406030204" pitchFamily="18" charset="0"/>
                </a:rPr>
                <a:t>𝑥)−3</a:t>
              </a:r>
              <a:endParaRPr lang="es-ES" sz="14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790990</xdr:colOff>
      <xdr:row>15</xdr:row>
      <xdr:rowOff>97275</xdr:rowOff>
    </xdr:from>
    <xdr:to>
      <xdr:col>11</xdr:col>
      <xdr:colOff>565944</xdr:colOff>
      <xdr:row>18</xdr:row>
      <xdr:rowOff>65813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97B393F-1E4D-45D9-8207-FF96D72FA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9330" y="13241775"/>
          <a:ext cx="3097274" cy="517177"/>
        </a:xfrm>
        <a:prstGeom prst="rect">
          <a:avLst/>
        </a:prstGeom>
      </xdr:spPr>
    </xdr:pic>
    <xdr:clientData/>
  </xdr:twoCellAnchor>
  <xdr:twoCellAnchor editAs="oneCell">
    <xdr:from>
      <xdr:col>0</xdr:col>
      <xdr:colOff>793327</xdr:colOff>
      <xdr:row>1</xdr:row>
      <xdr:rowOff>76199</xdr:rowOff>
    </xdr:from>
    <xdr:to>
      <xdr:col>7</xdr:col>
      <xdr:colOff>453373</xdr:colOff>
      <xdr:row>3</xdr:row>
      <xdr:rowOff>92440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2893F3-CEA2-4DE0-9694-A10059AC87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5" t="64205" r="3925" b="19553"/>
        <a:stretch>
          <a:fillRect/>
        </a:stretch>
      </xdr:blipFill>
      <xdr:spPr bwMode="auto">
        <a:xfrm>
          <a:off x="793327" y="259079"/>
          <a:ext cx="5428386" cy="382001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506459</xdr:colOff>
      <xdr:row>10</xdr:row>
      <xdr:rowOff>65424</xdr:rowOff>
    </xdr:from>
    <xdr:to>
      <xdr:col>5</xdr:col>
      <xdr:colOff>625842</xdr:colOff>
      <xdr:row>11</xdr:row>
      <xdr:rowOff>138546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E8DC3A5-73A3-495C-9A2F-CBEF45061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1419" y="1894224"/>
          <a:ext cx="2702563" cy="256002"/>
        </a:xfrm>
        <a:prstGeom prst="rect">
          <a:avLst/>
        </a:prstGeom>
      </xdr:spPr>
    </xdr:pic>
    <xdr:clientData/>
  </xdr:twoCellAnchor>
  <xdr:oneCellAnchor>
    <xdr:from>
      <xdr:col>1</xdr:col>
      <xdr:colOff>327890</xdr:colOff>
      <xdr:row>17</xdr:row>
      <xdr:rowOff>131618</xdr:rowOff>
    </xdr:from>
    <xdr:ext cx="913905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1F91CB8C-8687-472E-9E56-07413DAF484B}"/>
                </a:ext>
              </a:extLst>
            </xdr:cNvPr>
            <xdr:cNvSpPr txBox="1"/>
          </xdr:nvSpPr>
          <xdr:spPr>
            <a:xfrm>
              <a:off x="1120370" y="3171998"/>
              <a:ext cx="91390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[</m:t>
                    </m:r>
                    <m:r>
                      <m:rPr>
                        <m:sty m:val="p"/>
                      </m:rPr>
                      <a:rPr lang="en-US" sz="1100" b="0" i="1">
                        <a:latin typeface="Cambria Math" panose="02040503050406030204" pitchFamily="18" charset="0"/>
                      </a:rPr>
                      <m:t>a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r>
                      <m:rPr>
                        <m:sty m:val="p"/>
                      </m:rPr>
                      <a:rPr lang="en-US" sz="1100" b="0" i="1">
                        <a:latin typeface="Cambria Math" panose="02040503050406030204" pitchFamily="18" charset="0"/>
                      </a:rPr>
                      <m:t>b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]=[-2,-1]</m:t>
                    </m:r>
                  </m:oMath>
                </m:oMathPara>
              </a14:m>
              <a:endParaRPr lang="es-ES" sz="1100"/>
            </a:p>
          </xdr:txBody>
        </xdr:sp>
      </mc:Choice>
      <mc:Fallback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1F91CB8C-8687-472E-9E56-07413DAF484B}"/>
                </a:ext>
              </a:extLst>
            </xdr:cNvPr>
            <xdr:cNvSpPr txBox="1"/>
          </xdr:nvSpPr>
          <xdr:spPr>
            <a:xfrm>
              <a:off x="1120370" y="3171998"/>
              <a:ext cx="91390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[a,b]=[-2,-1]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310958</xdr:colOff>
      <xdr:row>17</xdr:row>
      <xdr:rowOff>99291</xdr:rowOff>
    </xdr:from>
    <xdr:ext cx="79675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FB87465F-48BB-4EB8-8508-A30E61F8357D}"/>
                </a:ext>
              </a:extLst>
            </xdr:cNvPr>
            <xdr:cNvSpPr txBox="1"/>
          </xdr:nvSpPr>
          <xdr:spPr>
            <a:xfrm>
              <a:off x="2772218" y="3139671"/>
              <a:ext cx="7967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[</m:t>
                    </m:r>
                    <m:r>
                      <m:rPr>
                        <m:sty m:val="p"/>
                      </m:rPr>
                      <a:rPr lang="en-US" sz="1100" b="0" i="1">
                        <a:latin typeface="Cambria Math" panose="02040503050406030204" pitchFamily="18" charset="0"/>
                      </a:rPr>
                      <m:t>a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r>
                      <m:rPr>
                        <m:sty m:val="p"/>
                      </m:rPr>
                      <a:rPr lang="en-US" sz="1100" b="0" i="1">
                        <a:latin typeface="Cambria Math" panose="02040503050406030204" pitchFamily="18" charset="0"/>
                      </a:rPr>
                      <m:t>b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]=[0,1]</m:t>
                    </m:r>
                  </m:oMath>
                </m:oMathPara>
              </a14:m>
              <a:endParaRPr lang="es-ES" sz="1100"/>
            </a:p>
          </xdr:txBody>
        </xdr:sp>
      </mc:Choice>
      <mc:Fallback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FB87465F-48BB-4EB8-8508-A30E61F8357D}"/>
                </a:ext>
              </a:extLst>
            </xdr:cNvPr>
            <xdr:cNvSpPr txBox="1"/>
          </xdr:nvSpPr>
          <xdr:spPr>
            <a:xfrm>
              <a:off x="2772218" y="3139671"/>
              <a:ext cx="7967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[a,b]=[0,1]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5</xdr:col>
      <xdr:colOff>218594</xdr:colOff>
      <xdr:row>17</xdr:row>
      <xdr:rowOff>91594</xdr:rowOff>
    </xdr:from>
    <xdr:ext cx="79675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536BA164-09D9-4932-99EE-194BA38713EC}"/>
                </a:ext>
              </a:extLst>
            </xdr:cNvPr>
            <xdr:cNvSpPr txBox="1"/>
          </xdr:nvSpPr>
          <xdr:spPr>
            <a:xfrm>
              <a:off x="4386734" y="3131974"/>
              <a:ext cx="7967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[</m:t>
                    </m:r>
                    <m:r>
                      <m:rPr>
                        <m:sty m:val="p"/>
                      </m:rPr>
                      <a:rPr lang="en-US" sz="1100" b="0" i="1">
                        <a:latin typeface="Cambria Math" panose="02040503050406030204" pitchFamily="18" charset="0"/>
                      </a:rPr>
                      <m:t>a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r>
                      <m:rPr>
                        <m:sty m:val="p"/>
                      </m:rPr>
                      <a:rPr lang="en-US" sz="1100" b="0" i="1">
                        <a:latin typeface="Cambria Math" panose="02040503050406030204" pitchFamily="18" charset="0"/>
                      </a:rPr>
                      <m:t>b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]=[1,2]</m:t>
                    </m:r>
                  </m:oMath>
                </m:oMathPara>
              </a14:m>
              <a:endParaRPr lang="es-ES" sz="1100"/>
            </a:p>
          </xdr:txBody>
        </xdr:sp>
      </mc:Choice>
      <mc:Fallback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536BA164-09D9-4932-99EE-194BA38713EC}"/>
                </a:ext>
              </a:extLst>
            </xdr:cNvPr>
            <xdr:cNvSpPr txBox="1"/>
          </xdr:nvSpPr>
          <xdr:spPr>
            <a:xfrm>
              <a:off x="4386734" y="3131974"/>
              <a:ext cx="7967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[a,b]=[1,2]</a:t>
              </a:r>
              <a:endParaRPr lang="es-ES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7776</xdr:colOff>
      <xdr:row>1</xdr:row>
      <xdr:rowOff>108858</xdr:rowOff>
    </xdr:from>
    <xdr:to>
      <xdr:col>7</xdr:col>
      <xdr:colOff>457987</xdr:colOff>
      <xdr:row>3</xdr:row>
      <xdr:rowOff>124407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D327F2-5A6A-462E-92CA-1F7EF9B4D5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5" t="64205" r="3925" b="19553"/>
        <a:stretch>
          <a:fillRect/>
        </a:stretch>
      </xdr:blipFill>
      <xdr:spPr bwMode="auto">
        <a:xfrm>
          <a:off x="800878" y="295470"/>
          <a:ext cx="5434313" cy="388774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257642</xdr:colOff>
      <xdr:row>10</xdr:row>
      <xdr:rowOff>34323</xdr:rowOff>
    </xdr:from>
    <xdr:to>
      <xdr:col>5</xdr:col>
      <xdr:colOff>377025</xdr:colOff>
      <xdr:row>11</xdr:row>
      <xdr:rowOff>107445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E8455DA-77A0-47B4-ABFD-6F1E497FA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3846" y="1900445"/>
          <a:ext cx="2708628" cy="259735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217713</xdr:colOff>
      <xdr:row>14</xdr:row>
      <xdr:rowOff>76093</xdr:rowOff>
    </xdr:from>
    <xdr:to>
      <xdr:col>6</xdr:col>
      <xdr:colOff>769776</xdr:colOff>
      <xdr:row>33</xdr:row>
      <xdr:rowOff>164673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788910D-E455-2F7F-07A4-9C831AC28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0815" y="2797522"/>
          <a:ext cx="4743063" cy="3634212"/>
        </a:xfrm>
        <a:prstGeom prst="rect">
          <a:avLst/>
        </a:prstGeom>
      </xdr:spPr>
    </xdr:pic>
    <xdr:clientData/>
  </xdr:twoCellAnchor>
  <xdr:twoCellAnchor editAs="oneCell">
    <xdr:from>
      <xdr:col>1</xdr:col>
      <xdr:colOff>6420</xdr:colOff>
      <xdr:row>37</xdr:row>
      <xdr:rowOff>32197</xdr:rowOff>
    </xdr:from>
    <xdr:to>
      <xdr:col>5</xdr:col>
      <xdr:colOff>429295</xdr:colOff>
      <xdr:row>53</xdr:row>
      <xdr:rowOff>58168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AF09B00-1EA4-6ED2-014D-A54EAA411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617" y="7018986"/>
          <a:ext cx="3803579" cy="2945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611746</xdr:colOff>
      <xdr:row>60</xdr:row>
      <xdr:rowOff>118056</xdr:rowOff>
    </xdr:from>
    <xdr:to>
      <xdr:col>5</xdr:col>
      <xdr:colOff>375633</xdr:colOff>
      <xdr:row>74</xdr:row>
      <xdr:rowOff>46797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C53E02FB-332C-2032-70ED-3EC50E49B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5943" y="11419267"/>
          <a:ext cx="3144591" cy="2483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69718</xdr:colOff>
      <xdr:row>83</xdr:row>
      <xdr:rowOff>160985</xdr:rowOff>
    </xdr:from>
    <xdr:to>
      <xdr:col>5</xdr:col>
      <xdr:colOff>106251</xdr:colOff>
      <xdr:row>98</xdr:row>
      <xdr:rowOff>122565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8FFB3473-8BE8-AA78-ABDA-739A2C9C9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5" y="15776619"/>
          <a:ext cx="3417237" cy="2698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44827</xdr:colOff>
      <xdr:row>37</xdr:row>
      <xdr:rowOff>53662</xdr:rowOff>
    </xdr:from>
    <xdr:to>
      <xdr:col>10</xdr:col>
      <xdr:colOff>375633</xdr:colOff>
      <xdr:row>52</xdr:row>
      <xdr:rowOff>99224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6519C5D7-44E2-8831-C7E3-EF56AB584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4658" y="7040451"/>
          <a:ext cx="3647116" cy="2782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337430</xdr:colOff>
      <xdr:row>60</xdr:row>
      <xdr:rowOff>64394</xdr:rowOff>
    </xdr:from>
    <xdr:to>
      <xdr:col>10</xdr:col>
      <xdr:colOff>200804</xdr:colOff>
      <xdr:row>73</xdr:row>
      <xdr:rowOff>165493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78CCF614-9AFF-3C89-421A-329AC64A9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7261" y="11365605"/>
          <a:ext cx="3179684" cy="2472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139489</xdr:colOff>
      <xdr:row>84</xdr:row>
      <xdr:rowOff>0</xdr:rowOff>
    </xdr:from>
    <xdr:to>
      <xdr:col>10</xdr:col>
      <xdr:colOff>257255</xdr:colOff>
      <xdr:row>98</xdr:row>
      <xdr:rowOff>79635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DF898622-D4D6-0F13-51F7-C10B470CE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9320" y="15798085"/>
          <a:ext cx="3434076" cy="26339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42930</xdr:colOff>
      <xdr:row>37</xdr:row>
      <xdr:rowOff>64395</xdr:rowOff>
    </xdr:from>
    <xdr:to>
      <xdr:col>15</xdr:col>
      <xdr:colOff>329835</xdr:colOff>
      <xdr:row>52</xdr:row>
      <xdr:rowOff>64395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D5CDA88B-7725-BC9E-76DE-9694467B2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051184"/>
          <a:ext cx="3485159" cy="2736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225382</xdr:colOff>
      <xdr:row>60</xdr:row>
      <xdr:rowOff>1</xdr:rowOff>
    </xdr:from>
    <xdr:to>
      <xdr:col>15</xdr:col>
      <xdr:colOff>266048</xdr:colOff>
      <xdr:row>74</xdr:row>
      <xdr:rowOff>42930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8A0CCEB4-3E3A-88DE-6189-FC382FBCF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26452" y="11301212"/>
          <a:ext cx="3238920" cy="2597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236112</xdr:colOff>
      <xdr:row>83</xdr:row>
      <xdr:rowOff>85859</xdr:rowOff>
    </xdr:from>
    <xdr:to>
      <xdr:col>15</xdr:col>
      <xdr:colOff>429296</xdr:colOff>
      <xdr:row>98</xdr:row>
      <xdr:rowOff>68639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E135573B-C6A0-5FF3-D503-DFC1C079B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7182" y="15701493"/>
          <a:ext cx="3391438" cy="271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09D4-A324-49F0-9336-02BDE4B8DD02}">
  <dimension ref="A6:AA90"/>
  <sheetViews>
    <sheetView topLeftCell="B18" zoomScale="93" zoomScaleNormal="112" workbookViewId="0">
      <selection activeCell="D27" sqref="D27"/>
    </sheetView>
  </sheetViews>
  <sheetFormatPr baseColWidth="10" defaultRowHeight="14.4" x14ac:dyDescent="0.3"/>
  <cols>
    <col min="2" max="2" width="11.5546875" customWidth="1"/>
    <col min="3" max="3" width="12.77734375" bestFit="1" customWidth="1"/>
    <col min="4" max="4" width="13.109375" bestFit="1" customWidth="1"/>
    <col min="5" max="6" width="11.77734375" bestFit="1" customWidth="1"/>
    <col min="8" max="8" width="11.6640625" bestFit="1" customWidth="1"/>
    <col min="9" max="9" width="13.77734375" bestFit="1" customWidth="1"/>
    <col min="10" max="10" width="13.109375" bestFit="1" customWidth="1"/>
    <col min="11" max="13" width="11.77734375" bestFit="1" customWidth="1"/>
  </cols>
  <sheetData>
    <row r="6" spans="2:10" x14ac:dyDescent="0.3">
      <c r="B6" s="14" t="s">
        <v>0</v>
      </c>
      <c r="C6" s="14"/>
      <c r="D6" s="14"/>
      <c r="E6" s="14"/>
      <c r="F6" s="14"/>
      <c r="G6" s="14"/>
      <c r="H6" s="14"/>
      <c r="I6" s="14"/>
      <c r="J6" s="14"/>
    </row>
    <row r="7" spans="2:10" x14ac:dyDescent="0.3">
      <c r="B7" s="13" t="s">
        <v>19</v>
      </c>
      <c r="C7" s="25">
        <v>-1.2340932753</v>
      </c>
      <c r="D7" s="25"/>
      <c r="E7" s="13" t="s">
        <v>20</v>
      </c>
      <c r="F7" s="26">
        <v>0.31546600079999998</v>
      </c>
      <c r="G7" s="26"/>
      <c r="H7" s="13" t="s">
        <v>21</v>
      </c>
      <c r="I7" s="26">
        <v>1.7802405007</v>
      </c>
      <c r="J7" s="26"/>
    </row>
    <row r="8" spans="2:10" x14ac:dyDescent="0.3">
      <c r="B8" s="13"/>
      <c r="C8" s="25"/>
      <c r="D8" s="25"/>
      <c r="E8" s="13"/>
      <c r="F8" s="26"/>
      <c r="G8" s="26"/>
      <c r="H8" s="13"/>
      <c r="I8" s="26"/>
      <c r="J8" s="26"/>
    </row>
    <row r="10" spans="2:10" x14ac:dyDescent="0.3">
      <c r="B10" s="14" t="s">
        <v>1</v>
      </c>
      <c r="C10" s="14"/>
      <c r="D10" s="14"/>
      <c r="E10" s="14"/>
      <c r="F10" s="14"/>
      <c r="G10" s="14"/>
    </row>
    <row r="11" spans="2:10" x14ac:dyDescent="0.3">
      <c r="B11" s="15"/>
      <c r="C11" s="15"/>
      <c r="D11" s="15"/>
      <c r="E11" s="15"/>
      <c r="F11" s="15"/>
      <c r="G11" s="15"/>
    </row>
    <row r="12" spans="2:10" x14ac:dyDescent="0.3">
      <c r="B12" s="15"/>
      <c r="C12" s="15"/>
      <c r="D12" s="15"/>
      <c r="E12" s="15"/>
      <c r="F12" s="15"/>
      <c r="G12" s="15"/>
    </row>
    <row r="14" spans="2:10" ht="23.4" x14ac:dyDescent="0.45">
      <c r="B14" s="4" t="s">
        <v>2</v>
      </c>
    </row>
    <row r="16" spans="2:10" x14ac:dyDescent="0.3">
      <c r="B16" s="16" t="s">
        <v>3</v>
      </c>
      <c r="C16" s="16"/>
      <c r="D16" s="16"/>
      <c r="E16" s="16"/>
      <c r="F16" s="16"/>
      <c r="G16" s="16"/>
      <c r="I16" s="15"/>
      <c r="J16" s="15"/>
    </row>
    <row r="17" spans="1:27" x14ac:dyDescent="0.3">
      <c r="B17" s="15"/>
      <c r="C17" s="15"/>
      <c r="D17" s="15"/>
      <c r="E17" s="15"/>
      <c r="F17" s="15"/>
      <c r="G17" s="15"/>
      <c r="I17" s="15"/>
      <c r="J17" s="15"/>
    </row>
    <row r="18" spans="1:27" x14ac:dyDescent="0.3">
      <c r="B18" s="15"/>
      <c r="C18" s="15"/>
      <c r="D18" s="15"/>
      <c r="E18" s="15"/>
      <c r="F18" s="15"/>
      <c r="G18" s="15"/>
      <c r="I18" s="15"/>
      <c r="J18" s="15"/>
    </row>
    <row r="21" spans="1:27" x14ac:dyDescent="0.3">
      <c r="A21" s="1" t="s">
        <v>26</v>
      </c>
      <c r="B21" s="5" t="s">
        <v>4</v>
      </c>
      <c r="C21" s="5" t="s">
        <v>5</v>
      </c>
      <c r="D21" s="5" t="s">
        <v>6</v>
      </c>
      <c r="E21" s="5" t="s">
        <v>11</v>
      </c>
      <c r="F21" s="5" t="s">
        <v>7</v>
      </c>
      <c r="G21" s="5" t="s">
        <v>8</v>
      </c>
      <c r="H21" s="5" t="s">
        <v>9</v>
      </c>
      <c r="I21" s="5" t="s">
        <v>10</v>
      </c>
      <c r="J21" s="28" t="s">
        <v>27</v>
      </c>
      <c r="K21" s="5" t="s">
        <v>4</v>
      </c>
      <c r="L21" s="5" t="s">
        <v>5</v>
      </c>
      <c r="M21" s="5" t="s">
        <v>6</v>
      </c>
      <c r="N21" s="5" t="s">
        <v>11</v>
      </c>
      <c r="O21" s="5" t="s">
        <v>7</v>
      </c>
      <c r="P21" s="5" t="s">
        <v>8</v>
      </c>
      <c r="Q21" s="5" t="s">
        <v>9</v>
      </c>
      <c r="R21" s="5" t="s">
        <v>10</v>
      </c>
      <c r="S21" s="28" t="s">
        <v>28</v>
      </c>
      <c r="T21" s="5" t="s">
        <v>4</v>
      </c>
      <c r="U21" s="5" t="s">
        <v>5</v>
      </c>
      <c r="V21" s="5" t="s">
        <v>6</v>
      </c>
      <c r="W21" s="5" t="s">
        <v>11</v>
      </c>
      <c r="X21" s="5" t="s">
        <v>7</v>
      </c>
      <c r="Y21" s="5" t="s">
        <v>8</v>
      </c>
      <c r="Z21" s="5" t="s">
        <v>9</v>
      </c>
      <c r="AA21" s="5" t="s">
        <v>10</v>
      </c>
    </row>
    <row r="22" spans="1:27" x14ac:dyDescent="0.3">
      <c r="B22">
        <v>0</v>
      </c>
      <c r="C22">
        <v>-2</v>
      </c>
      <c r="D22">
        <v>-1</v>
      </c>
      <c r="E22">
        <f t="shared" ref="E22:E31" si="0">(C22+D22)/2</f>
        <v>-1.5</v>
      </c>
      <c r="F22">
        <f>C22^3-(C22^2*EXP(-0.5*C22))-3*C22+1</f>
        <v>-11.873127313836179</v>
      </c>
      <c r="G22">
        <f t="shared" ref="G22:H22" si="1">D22^3-(D22^2*EXP(-0.5*D22))-3*D22+1</f>
        <v>1.3512787292998718</v>
      </c>
      <c r="H22">
        <f t="shared" si="1"/>
        <v>-2.6382500373785192</v>
      </c>
      <c r="I22">
        <v>1E-4</v>
      </c>
      <c r="K22">
        <v>0</v>
      </c>
      <c r="L22">
        <v>0</v>
      </c>
      <c r="M22">
        <v>1</v>
      </c>
      <c r="N22">
        <f t="shared" ref="N22:N36" si="2">(L22+M22)/2</f>
        <v>0.5</v>
      </c>
      <c r="O22">
        <f>L22^3-(L22^2*EXP(-0.5*L22))-3*L22+1</f>
        <v>1</v>
      </c>
      <c r="P22">
        <f t="shared" ref="P22:P36" si="3">M22^3-(M22^2*EXP(-0.5*M22))-3*M22+1</f>
        <v>-1.6065306597126332</v>
      </c>
      <c r="Q22">
        <f t="shared" ref="Q22:Q36" si="4">N22^3-(N22^2*EXP(-0.5*N22))-3*N22+1</f>
        <v>-0.56970019576785114</v>
      </c>
      <c r="R22">
        <v>1E-4</v>
      </c>
      <c r="T22">
        <v>0</v>
      </c>
      <c r="U22">
        <v>1</v>
      </c>
      <c r="V22">
        <v>2</v>
      </c>
      <c r="W22">
        <f t="shared" ref="W22:W36" si="5">(U22+V22)/2</f>
        <v>1.5</v>
      </c>
      <c r="X22">
        <f>U22^3-(U22^2*EXP(-0.5*U22))-3*U22+1</f>
        <v>-1.6065306597126332</v>
      </c>
      <c r="Y22">
        <f t="shared" ref="Y22:Y36" si="6">V22^3-(V22^2*EXP(-0.5*V22))-3*V22+1</f>
        <v>1.5284822353142307</v>
      </c>
      <c r="Z22">
        <f t="shared" ref="Z22:Z36" si="7">W22^3-(W22^2*EXP(-0.5*W22))-3*W22+1</f>
        <v>-1.1878247436672833</v>
      </c>
      <c r="AA22">
        <v>1E-4</v>
      </c>
    </row>
    <row r="23" spans="1:27" x14ac:dyDescent="0.3">
      <c r="B23">
        <v>1</v>
      </c>
      <c r="C23">
        <f t="shared" ref="C23:C31" si="8">IF(F22*H22&lt;0,C22,E22)</f>
        <v>-1.5</v>
      </c>
      <c r="D23">
        <f t="shared" ref="D23:D31" si="9">IF(F22*H22&lt;0,E22,D22)</f>
        <v>-1</v>
      </c>
      <c r="E23">
        <f t="shared" si="0"/>
        <v>-1.25</v>
      </c>
      <c r="F23">
        <f t="shared" ref="F23:F31" si="10">C23^3-(C23^2*EXP(-0.5*C23))-3*C23+1</f>
        <v>-2.6382500373785192</v>
      </c>
      <c r="G23">
        <f t="shared" ref="G23:G31" si="11">D23^3-(D23^2*EXP(-0.5*D23))-3*D23+1</f>
        <v>1.3512787292998718</v>
      </c>
      <c r="H23">
        <f t="shared" ref="H23:H31" si="12">E23^3-(E23^2*EXP(-0.5*E23))-3*E23+1</f>
        <v>-0.12225930848784738</v>
      </c>
      <c r="K23">
        <v>1</v>
      </c>
      <c r="L23">
        <f t="shared" ref="L23:L36" si="13">IF(O22*Q22&lt;0,L22,N22)</f>
        <v>0</v>
      </c>
      <c r="M23">
        <f t="shared" ref="M23:M36" si="14">IF(O22*Q22&lt;0,N22,M22)</f>
        <v>0.5</v>
      </c>
      <c r="N23">
        <f t="shared" si="2"/>
        <v>0.25</v>
      </c>
      <c r="O23">
        <f t="shared" ref="O23:O36" si="15">L23^3-(L23^2*EXP(-0.5*L23))-3*L23+1</f>
        <v>1</v>
      </c>
      <c r="P23">
        <f t="shared" si="3"/>
        <v>-0.56970019576785114</v>
      </c>
      <c r="Q23">
        <f t="shared" si="4"/>
        <v>0.2104689435884628</v>
      </c>
      <c r="T23">
        <v>1</v>
      </c>
      <c r="U23">
        <f t="shared" ref="U23:U36" si="16">IF(X22*Z22&lt;0,U22,W22)</f>
        <v>1.5</v>
      </c>
      <c r="V23">
        <f t="shared" ref="V23:V36" si="17">IF(X22*Z22&lt;0,W22,V22)</f>
        <v>2</v>
      </c>
      <c r="W23">
        <f t="shared" si="5"/>
        <v>1.75</v>
      </c>
      <c r="X23">
        <f t="shared" ref="X23:X36" si="18">U23^3-(U23^2*EXP(-0.5*U23))-3*U23+1</f>
        <v>-1.1878247436672833</v>
      </c>
      <c r="Y23">
        <f t="shared" si="6"/>
        <v>1.5284822353142307</v>
      </c>
      <c r="Z23">
        <f t="shared" si="7"/>
        <v>-0.16726493526543162</v>
      </c>
    </row>
    <row r="24" spans="1:27" x14ac:dyDescent="0.3">
      <c r="B24">
        <v>2</v>
      </c>
      <c r="C24">
        <f t="shared" si="8"/>
        <v>-1.25</v>
      </c>
      <c r="D24">
        <f t="shared" si="9"/>
        <v>-1</v>
      </c>
      <c r="E24">
        <f t="shared" si="0"/>
        <v>-1.125</v>
      </c>
      <c r="F24">
        <f t="shared" si="10"/>
        <v>-0.12225930848784738</v>
      </c>
      <c r="G24">
        <f t="shared" si="11"/>
        <v>1.3512787292998718</v>
      </c>
      <c r="H24">
        <f t="shared" si="12"/>
        <v>0.72993082478462235</v>
      </c>
      <c r="K24">
        <v>2</v>
      </c>
      <c r="L24">
        <f t="shared" si="13"/>
        <v>0.25</v>
      </c>
      <c r="M24">
        <f t="shared" si="14"/>
        <v>0.5</v>
      </c>
      <c r="N24">
        <f t="shared" si="2"/>
        <v>0.375</v>
      </c>
      <c r="O24">
        <f t="shared" si="15"/>
        <v>0.2104689435884628</v>
      </c>
      <c r="P24">
        <f t="shared" si="3"/>
        <v>-0.56970019576785114</v>
      </c>
      <c r="Q24">
        <f t="shared" si="4"/>
        <v>-0.18884784474411886</v>
      </c>
      <c r="T24">
        <v>2</v>
      </c>
      <c r="U24">
        <f t="shared" si="16"/>
        <v>1.75</v>
      </c>
      <c r="V24">
        <f t="shared" si="17"/>
        <v>2</v>
      </c>
      <c r="W24">
        <f t="shared" si="5"/>
        <v>1.875</v>
      </c>
      <c r="X24">
        <f t="shared" si="18"/>
        <v>-0.16726493526543162</v>
      </c>
      <c r="Y24">
        <f t="shared" si="6"/>
        <v>1.5284822353142307</v>
      </c>
      <c r="Z24">
        <f t="shared" si="7"/>
        <v>0.59005834371437871</v>
      </c>
    </row>
    <row r="25" spans="1:27" x14ac:dyDescent="0.3">
      <c r="B25">
        <v>3</v>
      </c>
      <c r="C25">
        <f t="shared" si="8"/>
        <v>-1.25</v>
      </c>
      <c r="D25">
        <f t="shared" si="9"/>
        <v>-1.125</v>
      </c>
      <c r="E25">
        <f t="shared" si="0"/>
        <v>-1.1875</v>
      </c>
      <c r="F25">
        <f t="shared" si="10"/>
        <v>-0.12225930848784738</v>
      </c>
      <c r="G25">
        <f t="shared" si="11"/>
        <v>0.72993082478462235</v>
      </c>
      <c r="H25">
        <f t="shared" si="12"/>
        <v>0.33447635923789498</v>
      </c>
      <c r="K25">
        <v>3</v>
      </c>
      <c r="L25">
        <f t="shared" si="13"/>
        <v>0.25</v>
      </c>
      <c r="M25">
        <f t="shared" si="14"/>
        <v>0.375</v>
      </c>
      <c r="N25">
        <f t="shared" si="2"/>
        <v>0.3125</v>
      </c>
      <c r="O25">
        <f t="shared" si="15"/>
        <v>0.2104689435884628</v>
      </c>
      <c r="P25">
        <f t="shared" si="3"/>
        <v>-0.18884784474411886</v>
      </c>
      <c r="Q25">
        <f t="shared" si="4"/>
        <v>9.4877610051344874E-3</v>
      </c>
      <c r="T25">
        <v>3</v>
      </c>
      <c r="U25">
        <f t="shared" si="16"/>
        <v>1.75</v>
      </c>
      <c r="V25">
        <f t="shared" si="17"/>
        <v>1.875</v>
      </c>
      <c r="W25">
        <f t="shared" si="5"/>
        <v>1.8125</v>
      </c>
      <c r="X25">
        <f t="shared" si="18"/>
        <v>-0.16726493526543162</v>
      </c>
      <c r="Y25">
        <f t="shared" si="6"/>
        <v>0.59005834371437871</v>
      </c>
      <c r="Z25">
        <f t="shared" si="7"/>
        <v>0.18952259218409928</v>
      </c>
    </row>
    <row r="26" spans="1:27" x14ac:dyDescent="0.3">
      <c r="B26">
        <v>4</v>
      </c>
      <c r="C26">
        <f t="shared" si="8"/>
        <v>-1.25</v>
      </c>
      <c r="D26">
        <f t="shared" si="9"/>
        <v>-1.1875</v>
      </c>
      <c r="E26">
        <f t="shared" si="0"/>
        <v>-1.21875</v>
      </c>
      <c r="F26">
        <f t="shared" si="10"/>
        <v>-0.12225930848784738</v>
      </c>
      <c r="G26">
        <f t="shared" si="11"/>
        <v>0.33447635923789498</v>
      </c>
      <c r="H26">
        <f t="shared" si="12"/>
        <v>0.11399815032026517</v>
      </c>
      <c r="K26">
        <v>4</v>
      </c>
      <c r="L26">
        <f t="shared" si="13"/>
        <v>0.3125</v>
      </c>
      <c r="M26">
        <f t="shared" si="14"/>
        <v>0.375</v>
      </c>
      <c r="N26">
        <f t="shared" si="2"/>
        <v>0.34375</v>
      </c>
      <c r="O26">
        <f t="shared" si="15"/>
        <v>9.4877610051344874E-3</v>
      </c>
      <c r="P26">
        <f t="shared" si="3"/>
        <v>-0.18884784474411886</v>
      </c>
      <c r="Q26">
        <f t="shared" si="4"/>
        <v>-9.0135220394872428E-2</v>
      </c>
      <c r="T26">
        <v>4</v>
      </c>
      <c r="U26">
        <f t="shared" si="16"/>
        <v>1.75</v>
      </c>
      <c r="V26">
        <f t="shared" si="17"/>
        <v>1.8125</v>
      </c>
      <c r="W26">
        <f t="shared" si="5"/>
        <v>1.78125</v>
      </c>
      <c r="X26">
        <f t="shared" si="18"/>
        <v>-0.16726493526543162</v>
      </c>
      <c r="Y26">
        <f t="shared" si="6"/>
        <v>0.18952259218409928</v>
      </c>
      <c r="Z26">
        <f t="shared" si="7"/>
        <v>5.7561880955994127E-3</v>
      </c>
    </row>
    <row r="27" spans="1:27" x14ac:dyDescent="0.3">
      <c r="B27">
        <v>5</v>
      </c>
      <c r="C27">
        <f t="shared" si="8"/>
        <v>-1.25</v>
      </c>
      <c r="D27">
        <f t="shared" si="9"/>
        <v>-1.21875</v>
      </c>
      <c r="E27">
        <f t="shared" si="0"/>
        <v>-1.234375</v>
      </c>
      <c r="F27">
        <f t="shared" si="10"/>
        <v>-0.12225930848784738</v>
      </c>
      <c r="G27">
        <f t="shared" si="11"/>
        <v>0.11399815032026517</v>
      </c>
      <c r="H27">
        <f t="shared" si="12"/>
        <v>-2.1290798148916323E-3</v>
      </c>
      <c r="K27">
        <v>5</v>
      </c>
      <c r="L27">
        <f t="shared" si="13"/>
        <v>0.3125</v>
      </c>
      <c r="M27">
        <f t="shared" si="14"/>
        <v>0.34375</v>
      </c>
      <c r="N27">
        <f t="shared" si="2"/>
        <v>0.328125</v>
      </c>
      <c r="O27">
        <f t="shared" si="15"/>
        <v>9.4877610051344874E-3</v>
      </c>
      <c r="P27">
        <f t="shared" si="3"/>
        <v>-9.0135220394872428E-2</v>
      </c>
      <c r="Q27">
        <f t="shared" si="4"/>
        <v>-4.0422049298882712E-2</v>
      </c>
      <c r="T27">
        <v>5</v>
      </c>
      <c r="U27">
        <f t="shared" si="16"/>
        <v>1.75</v>
      </c>
      <c r="V27">
        <f t="shared" si="17"/>
        <v>1.78125</v>
      </c>
      <c r="W27">
        <f t="shared" si="5"/>
        <v>1.765625</v>
      </c>
      <c r="X27">
        <f t="shared" si="18"/>
        <v>-0.16726493526543162</v>
      </c>
      <c r="Y27">
        <f t="shared" si="6"/>
        <v>5.7561880955994127E-3</v>
      </c>
      <c r="Z27">
        <f t="shared" si="7"/>
        <v>-8.2085517878812908E-2</v>
      </c>
    </row>
    <row r="28" spans="1:27" x14ac:dyDescent="0.3">
      <c r="B28">
        <v>6</v>
      </c>
      <c r="C28">
        <f t="shared" si="8"/>
        <v>-1.234375</v>
      </c>
      <c r="D28">
        <f t="shared" si="9"/>
        <v>-1.21875</v>
      </c>
      <c r="E28">
        <f t="shared" si="0"/>
        <v>-1.2265625</v>
      </c>
      <c r="F28">
        <f t="shared" si="10"/>
        <v>-2.1290798148916323E-3</v>
      </c>
      <c r="G28">
        <f t="shared" si="11"/>
        <v>0.11399815032026517</v>
      </c>
      <c r="H28">
        <f t="shared" si="12"/>
        <v>5.6431254909981021E-2</v>
      </c>
      <c r="K28">
        <v>6</v>
      </c>
      <c r="L28">
        <f t="shared" si="13"/>
        <v>0.3125</v>
      </c>
      <c r="M28">
        <f t="shared" si="14"/>
        <v>0.328125</v>
      </c>
      <c r="N28">
        <f t="shared" si="2"/>
        <v>0.3203125</v>
      </c>
      <c r="O28">
        <f t="shared" si="15"/>
        <v>9.4877610051344874E-3</v>
      </c>
      <c r="P28">
        <f t="shared" si="3"/>
        <v>-4.0422049298882712E-2</v>
      </c>
      <c r="Q28">
        <f t="shared" si="4"/>
        <v>-1.5489782308668598E-2</v>
      </c>
      <c r="T28">
        <v>6</v>
      </c>
      <c r="U28">
        <f t="shared" si="16"/>
        <v>1.765625</v>
      </c>
      <c r="V28">
        <f t="shared" si="17"/>
        <v>1.78125</v>
      </c>
      <c r="W28">
        <f t="shared" si="5"/>
        <v>1.7734375</v>
      </c>
      <c r="X28">
        <f t="shared" si="18"/>
        <v>-8.2085517878812908E-2</v>
      </c>
      <c r="Y28">
        <f t="shared" si="6"/>
        <v>5.7561880955994127E-3</v>
      </c>
      <c r="Z28">
        <f t="shared" si="7"/>
        <v>-3.8498954300466792E-2</v>
      </c>
    </row>
    <row r="29" spans="1:27" x14ac:dyDescent="0.3">
      <c r="B29">
        <v>7</v>
      </c>
      <c r="C29">
        <f t="shared" si="8"/>
        <v>-1.234375</v>
      </c>
      <c r="D29">
        <f t="shared" si="9"/>
        <v>-1.2265625</v>
      </c>
      <c r="E29">
        <f t="shared" si="0"/>
        <v>-1.23046875</v>
      </c>
      <c r="F29">
        <f t="shared" si="10"/>
        <v>-2.1290798148916323E-3</v>
      </c>
      <c r="G29">
        <f t="shared" si="11"/>
        <v>5.6431254909981021E-2</v>
      </c>
      <c r="H29">
        <f t="shared" si="12"/>
        <v>2.7275723191040768E-2</v>
      </c>
      <c r="K29">
        <v>7</v>
      </c>
      <c r="L29">
        <f t="shared" si="13"/>
        <v>0.3125</v>
      </c>
      <c r="M29">
        <f t="shared" si="14"/>
        <v>0.3203125</v>
      </c>
      <c r="N29">
        <f t="shared" si="2"/>
        <v>0.31640625</v>
      </c>
      <c r="O29">
        <f t="shared" si="15"/>
        <v>9.4877610051344874E-3</v>
      </c>
      <c r="P29">
        <f t="shared" si="3"/>
        <v>-1.5489782308668598E-2</v>
      </c>
      <c r="Q29">
        <f t="shared" si="4"/>
        <v>-3.006427010124435E-3</v>
      </c>
      <c r="T29">
        <v>7</v>
      </c>
      <c r="U29">
        <f t="shared" si="16"/>
        <v>1.7734375</v>
      </c>
      <c r="V29">
        <f t="shared" si="17"/>
        <v>1.78125</v>
      </c>
      <c r="W29">
        <f t="shared" si="5"/>
        <v>1.77734375</v>
      </c>
      <c r="X29">
        <f t="shared" si="18"/>
        <v>-3.8498954300466792E-2</v>
      </c>
      <c r="Y29">
        <f t="shared" si="6"/>
        <v>5.7561880955994127E-3</v>
      </c>
      <c r="Z29">
        <f t="shared" si="7"/>
        <v>-1.6455143251628002E-2</v>
      </c>
    </row>
    <row r="30" spans="1:27" x14ac:dyDescent="0.3">
      <c r="B30">
        <v>8</v>
      </c>
      <c r="C30">
        <f t="shared" si="8"/>
        <v>-1.234375</v>
      </c>
      <c r="D30">
        <f t="shared" si="9"/>
        <v>-1.23046875</v>
      </c>
      <c r="E30">
        <f t="shared" si="0"/>
        <v>-1.232421875</v>
      </c>
      <c r="F30">
        <f t="shared" si="10"/>
        <v>-2.1290798148916323E-3</v>
      </c>
      <c r="G30">
        <f t="shared" si="11"/>
        <v>2.7275723191040768E-2</v>
      </c>
      <c r="H30">
        <f t="shared" si="12"/>
        <v>1.2604537666828897E-2</v>
      </c>
      <c r="K30">
        <v>8</v>
      </c>
      <c r="L30">
        <f t="shared" si="13"/>
        <v>0.3125</v>
      </c>
      <c r="M30">
        <f t="shared" si="14"/>
        <v>0.31640625</v>
      </c>
      <c r="N30">
        <f t="shared" si="2"/>
        <v>0.314453125</v>
      </c>
      <c r="O30">
        <f t="shared" si="15"/>
        <v>9.4877610051344874E-3</v>
      </c>
      <c r="P30">
        <f t="shared" si="3"/>
        <v>-3.006427010124435E-3</v>
      </c>
      <c r="Q30">
        <f t="shared" si="4"/>
        <v>3.239343334866418E-3</v>
      </c>
      <c r="T30">
        <v>8</v>
      </c>
      <c r="U30">
        <f t="shared" si="16"/>
        <v>1.77734375</v>
      </c>
      <c r="V30">
        <f t="shared" si="17"/>
        <v>1.78125</v>
      </c>
      <c r="W30">
        <f t="shared" si="5"/>
        <v>1.779296875</v>
      </c>
      <c r="X30">
        <f t="shared" si="18"/>
        <v>-1.6455143251628002E-2</v>
      </c>
      <c r="Y30">
        <f t="shared" si="6"/>
        <v>5.7561880955994127E-3</v>
      </c>
      <c r="Z30">
        <f t="shared" si="7"/>
        <v>-5.3704410824852999E-3</v>
      </c>
    </row>
    <row r="31" spans="1:27" x14ac:dyDescent="0.3">
      <c r="B31">
        <v>9</v>
      </c>
      <c r="C31">
        <f t="shared" si="8"/>
        <v>-1.234375</v>
      </c>
      <c r="D31">
        <f t="shared" si="9"/>
        <v>-1.232421875</v>
      </c>
      <c r="E31">
        <f t="shared" si="0"/>
        <v>-1.2333984375</v>
      </c>
      <c r="F31">
        <f t="shared" si="10"/>
        <v>-2.1290798148916323E-3</v>
      </c>
      <c r="G31">
        <f t="shared" si="11"/>
        <v>1.2604537666828897E-2</v>
      </c>
      <c r="H31">
        <f t="shared" si="12"/>
        <v>5.2455400605149194E-3</v>
      </c>
      <c r="K31">
        <v>9</v>
      </c>
      <c r="L31">
        <f t="shared" si="13"/>
        <v>0.314453125</v>
      </c>
      <c r="M31">
        <f t="shared" si="14"/>
        <v>0.31640625</v>
      </c>
      <c r="N31">
        <f t="shared" si="2"/>
        <v>0.3154296875</v>
      </c>
      <c r="O31">
        <f t="shared" si="15"/>
        <v>3.239343334866418E-3</v>
      </c>
      <c r="P31">
        <f t="shared" si="3"/>
        <v>-3.006427010124435E-3</v>
      </c>
      <c r="Q31">
        <f t="shared" si="4"/>
        <v>1.1612344203659752E-4</v>
      </c>
      <c r="T31">
        <v>9</v>
      </c>
      <c r="U31">
        <f t="shared" si="16"/>
        <v>1.779296875</v>
      </c>
      <c r="V31">
        <f t="shared" si="17"/>
        <v>1.78125</v>
      </c>
      <c r="W31">
        <f t="shared" si="5"/>
        <v>1.7802734375</v>
      </c>
      <c r="X31">
        <f t="shared" si="18"/>
        <v>-5.3704410824852999E-3</v>
      </c>
      <c r="Y31">
        <f t="shared" si="6"/>
        <v>5.7561880955994127E-3</v>
      </c>
      <c r="Z31">
        <f t="shared" si="7"/>
        <v>1.8762969750696357E-4</v>
      </c>
    </row>
    <row r="32" spans="1:27" x14ac:dyDescent="0.3">
      <c r="B32">
        <v>10</v>
      </c>
      <c r="C32">
        <f t="shared" ref="C32:C34" si="19">IF(F31*H31&lt;0,C31,E31)</f>
        <v>-1.234375</v>
      </c>
      <c r="D32">
        <f t="shared" ref="D32:D34" si="20">IF(F31*H31&lt;0,E31,D31)</f>
        <v>-1.2333984375</v>
      </c>
      <c r="E32">
        <f t="shared" ref="E32:E34" si="21">(C32+D32)/2</f>
        <v>-1.23388671875</v>
      </c>
      <c r="F32">
        <f t="shared" ref="F32:F34" si="22">C32^3-(C32^2*EXP(-0.5*C32))-3*C32+1</f>
        <v>-2.1290798148916323E-3</v>
      </c>
      <c r="G32">
        <f t="shared" ref="G32:G34" si="23">D32^3-(D32^2*EXP(-0.5*D32))-3*D32+1</f>
        <v>5.2455400605149194E-3</v>
      </c>
      <c r="H32">
        <f t="shared" ref="H32:H34" si="24">E32^3-(E32^2*EXP(-0.5*E32))-3*E32+1</f>
        <v>1.5601837993290957E-3</v>
      </c>
      <c r="K32">
        <v>10</v>
      </c>
      <c r="L32">
        <f t="shared" si="13"/>
        <v>0.3154296875</v>
      </c>
      <c r="M32">
        <f t="shared" si="14"/>
        <v>0.31640625</v>
      </c>
      <c r="N32">
        <f t="shared" si="2"/>
        <v>0.31591796875</v>
      </c>
      <c r="O32">
        <f t="shared" si="15"/>
        <v>1.1612344203659752E-4</v>
      </c>
      <c r="P32">
        <f t="shared" si="3"/>
        <v>-3.006427010124435E-3</v>
      </c>
      <c r="Q32">
        <f t="shared" si="4"/>
        <v>-1.4452359395975556E-3</v>
      </c>
      <c r="T32">
        <v>10</v>
      </c>
      <c r="U32">
        <f t="shared" si="16"/>
        <v>1.779296875</v>
      </c>
      <c r="V32">
        <f t="shared" si="17"/>
        <v>1.7802734375</v>
      </c>
      <c r="W32">
        <f t="shared" si="5"/>
        <v>1.77978515625</v>
      </c>
      <c r="X32">
        <f t="shared" si="18"/>
        <v>-5.3704410824852999E-3</v>
      </c>
      <c r="Y32">
        <f t="shared" si="6"/>
        <v>1.8762969750696357E-4</v>
      </c>
      <c r="Z32">
        <f t="shared" si="7"/>
        <v>-2.5927162781558266E-3</v>
      </c>
    </row>
    <row r="33" spans="2:26" x14ac:dyDescent="0.3">
      <c r="B33">
        <v>11</v>
      </c>
      <c r="C33">
        <f t="shared" si="19"/>
        <v>-1.234375</v>
      </c>
      <c r="D33">
        <f t="shared" si="20"/>
        <v>-1.23388671875</v>
      </c>
      <c r="E33">
        <f t="shared" si="21"/>
        <v>-1.234130859375</v>
      </c>
      <c r="F33">
        <f t="shared" si="22"/>
        <v>-2.1290798148916323E-3</v>
      </c>
      <c r="G33">
        <f t="shared" si="23"/>
        <v>1.5601837993290957E-3</v>
      </c>
      <c r="H33">
        <f t="shared" si="24"/>
        <v>-2.8395947701653768E-4</v>
      </c>
      <c r="K33">
        <v>11</v>
      </c>
      <c r="L33">
        <f t="shared" si="13"/>
        <v>0.3154296875</v>
      </c>
      <c r="M33">
        <f t="shared" si="14"/>
        <v>0.31591796875</v>
      </c>
      <c r="N33">
        <f t="shared" si="2"/>
        <v>0.315673828125</v>
      </c>
      <c r="O33">
        <f t="shared" si="15"/>
        <v>1.1612344203659752E-4</v>
      </c>
      <c r="P33">
        <f t="shared" si="3"/>
        <v>-1.4452359395975556E-3</v>
      </c>
      <c r="Q33">
        <f t="shared" si="4"/>
        <v>-6.6457722824031507E-4</v>
      </c>
      <c r="T33">
        <v>11</v>
      </c>
      <c r="U33">
        <f t="shared" si="16"/>
        <v>1.77978515625</v>
      </c>
      <c r="V33">
        <f t="shared" si="17"/>
        <v>1.7802734375</v>
      </c>
      <c r="W33">
        <f t="shared" si="5"/>
        <v>1.780029296875</v>
      </c>
      <c r="X33">
        <f t="shared" si="18"/>
        <v>-2.5927162781558266E-3</v>
      </c>
      <c r="Y33">
        <f t="shared" si="6"/>
        <v>1.8762969750696357E-4</v>
      </c>
      <c r="Z33">
        <f t="shared" si="7"/>
        <v>-1.2028709825662176E-3</v>
      </c>
    </row>
    <row r="34" spans="2:26" x14ac:dyDescent="0.3">
      <c r="B34">
        <v>12</v>
      </c>
      <c r="C34">
        <f t="shared" si="19"/>
        <v>-1.234130859375</v>
      </c>
      <c r="D34">
        <f t="shared" si="20"/>
        <v>-1.23388671875</v>
      </c>
      <c r="E34">
        <f t="shared" si="21"/>
        <v>-1.2340087890625</v>
      </c>
      <c r="F34">
        <f t="shared" si="22"/>
        <v>-2.8395947701653768E-4</v>
      </c>
      <c r="G34">
        <f t="shared" si="23"/>
        <v>1.5601837993290957E-3</v>
      </c>
      <c r="H34">
        <f t="shared" si="24"/>
        <v>6.3823427989184722E-4</v>
      </c>
      <c r="K34">
        <v>12</v>
      </c>
      <c r="L34">
        <f t="shared" si="13"/>
        <v>0.3154296875</v>
      </c>
      <c r="M34">
        <f t="shared" si="14"/>
        <v>0.315673828125</v>
      </c>
      <c r="N34">
        <f t="shared" si="2"/>
        <v>0.3155517578125</v>
      </c>
      <c r="O34">
        <f t="shared" si="15"/>
        <v>1.1612344203659752E-4</v>
      </c>
      <c r="P34">
        <f t="shared" si="3"/>
        <v>-6.6457722824031507E-4</v>
      </c>
      <c r="Q34">
        <f t="shared" si="4"/>
        <v>-2.7423213053778817E-4</v>
      </c>
      <c r="T34">
        <v>12</v>
      </c>
      <c r="U34">
        <f t="shared" si="16"/>
        <v>1.780029296875</v>
      </c>
      <c r="V34">
        <f t="shared" si="17"/>
        <v>1.7802734375</v>
      </c>
      <c r="W34">
        <f t="shared" si="5"/>
        <v>1.7801513671875</v>
      </c>
      <c r="X34">
        <f t="shared" si="18"/>
        <v>-1.2028709825662176E-3</v>
      </c>
      <c r="Y34">
        <f t="shared" si="6"/>
        <v>1.8762969750696357E-4</v>
      </c>
      <c r="Z34">
        <f t="shared" si="7"/>
        <v>-5.0770257131826924E-4</v>
      </c>
    </row>
    <row r="35" spans="2:26" x14ac:dyDescent="0.3">
      <c r="B35">
        <v>13</v>
      </c>
      <c r="C35">
        <f t="shared" ref="C35:C36" si="25">IF(F34*H34&lt;0,C34,E34)</f>
        <v>-1.234130859375</v>
      </c>
      <c r="D35">
        <f t="shared" ref="D35:D36" si="26">IF(F34*H34&lt;0,E34,D34)</f>
        <v>-1.2340087890625</v>
      </c>
      <c r="E35">
        <f t="shared" ref="E35:E36" si="27">(C35+D35)/2</f>
        <v>-1.23406982421875</v>
      </c>
      <c r="F35">
        <f t="shared" ref="F35:F36" si="28">C35^3-(C35^2*EXP(-0.5*C35))-3*C35+1</f>
        <v>-2.8395947701653768E-4</v>
      </c>
      <c r="G35">
        <f t="shared" ref="G35:G36" si="29">D35^3-(D35^2*EXP(-0.5*D35))-3*D35+1</f>
        <v>6.3823427989184722E-4</v>
      </c>
      <c r="H35">
        <f t="shared" ref="H35:H36" si="30">E35^3-(E35^2*EXP(-0.5*E35))-3*E35+1</f>
        <v>1.771679328657072E-4</v>
      </c>
      <c r="K35">
        <v>13</v>
      </c>
      <c r="L35">
        <f t="shared" si="13"/>
        <v>0.3154296875</v>
      </c>
      <c r="M35">
        <f t="shared" si="14"/>
        <v>0.3155517578125</v>
      </c>
      <c r="N35" s="6">
        <f t="shared" si="2"/>
        <v>0.31549072265625</v>
      </c>
      <c r="O35">
        <f t="shared" si="15"/>
        <v>1.1612344203659752E-4</v>
      </c>
      <c r="P35">
        <f t="shared" si="3"/>
        <v>-2.7423213053778817E-4</v>
      </c>
      <c r="Q35">
        <f t="shared" si="4"/>
        <v>-7.9055652680848354E-5</v>
      </c>
      <c r="T35">
        <v>13</v>
      </c>
      <c r="U35">
        <f t="shared" si="16"/>
        <v>1.7801513671875</v>
      </c>
      <c r="V35">
        <f t="shared" si="17"/>
        <v>1.7802734375</v>
      </c>
      <c r="W35">
        <f t="shared" si="5"/>
        <v>1.78021240234375</v>
      </c>
      <c r="X35">
        <f t="shared" si="18"/>
        <v>-5.0770257131826924E-4</v>
      </c>
      <c r="Y35">
        <f t="shared" si="6"/>
        <v>1.8762969750696357E-4</v>
      </c>
      <c r="Z35">
        <f t="shared" si="7"/>
        <v>-1.6005691981924031E-4</v>
      </c>
    </row>
    <row r="36" spans="2:26" x14ac:dyDescent="0.3">
      <c r="B36">
        <v>14</v>
      </c>
      <c r="C36">
        <f t="shared" si="25"/>
        <v>-1.234130859375</v>
      </c>
      <c r="D36">
        <f t="shared" si="26"/>
        <v>-1.23406982421875</v>
      </c>
      <c r="E36" s="6">
        <f>(C36+D36)/2</f>
        <v>-1.234100341796875</v>
      </c>
      <c r="F36">
        <f t="shared" si="28"/>
        <v>-2.8395947701653768E-4</v>
      </c>
      <c r="G36">
        <f t="shared" si="29"/>
        <v>1.771679328657072E-4</v>
      </c>
      <c r="H36">
        <f t="shared" si="30"/>
        <v>-5.3388139001242507E-5</v>
      </c>
      <c r="N36" s="24"/>
      <c r="T36">
        <v>14</v>
      </c>
      <c r="U36">
        <f t="shared" si="16"/>
        <v>1.78021240234375</v>
      </c>
      <c r="V36">
        <f t="shared" si="17"/>
        <v>1.7802734375</v>
      </c>
      <c r="W36" s="6">
        <f t="shared" si="5"/>
        <v>1.780242919921875</v>
      </c>
      <c r="X36">
        <f t="shared" si="18"/>
        <v>-1.6005691981924031E-4</v>
      </c>
      <c r="Y36">
        <f t="shared" si="6"/>
        <v>1.8762969750696357E-4</v>
      </c>
      <c r="Z36">
        <f t="shared" si="7"/>
        <v>1.3781268026313853E-5</v>
      </c>
    </row>
    <row r="38" spans="2:26" x14ac:dyDescent="0.3">
      <c r="C38" s="7"/>
      <c r="D38" s="7"/>
      <c r="N38" s="2"/>
    </row>
    <row r="39" spans="2:26" x14ac:dyDescent="0.3">
      <c r="B39" s="16" t="s">
        <v>22</v>
      </c>
      <c r="C39" s="16"/>
      <c r="D39" s="16"/>
      <c r="E39" s="16"/>
      <c r="F39" s="16"/>
      <c r="G39" s="16"/>
      <c r="H39" s="16"/>
      <c r="I39" s="16"/>
      <c r="J39" s="16"/>
      <c r="N39" s="2"/>
    </row>
    <row r="40" spans="2:26" x14ac:dyDescent="0.3">
      <c r="B40" s="13" t="s">
        <v>23</v>
      </c>
      <c r="C40" s="27">
        <f>ABS($C$7-E36)/ABS($C$7)*100</f>
        <v>5.7260638368423144E-4</v>
      </c>
      <c r="D40" s="27"/>
      <c r="E40" s="13" t="s">
        <v>24</v>
      </c>
      <c r="F40" s="27">
        <f>ABS($F$7-N35)/ABS($F$7)*100</f>
        <v>7.8366150987199071E-3</v>
      </c>
      <c r="G40" s="27"/>
      <c r="H40" s="13" t="s">
        <v>25</v>
      </c>
      <c r="I40" s="27">
        <f>ABS($I$7-W36)/ABS($I$7)*100</f>
        <v>1.3589298042025023E-4</v>
      </c>
      <c r="J40" s="27"/>
      <c r="N40" s="2"/>
    </row>
    <row r="41" spans="2:26" x14ac:dyDescent="0.3">
      <c r="B41" s="13"/>
      <c r="C41" s="27"/>
      <c r="D41" s="27"/>
      <c r="E41" s="13"/>
      <c r="F41" s="27"/>
      <c r="G41" s="27"/>
      <c r="H41" s="13"/>
      <c r="I41" s="27"/>
      <c r="J41" s="27"/>
    </row>
    <row r="44" spans="2:26" ht="23.4" x14ac:dyDescent="0.45">
      <c r="B44" s="4"/>
      <c r="C44" s="15"/>
      <c r="D44" s="15"/>
      <c r="E44" s="15"/>
    </row>
    <row r="46" spans="2:26" x14ac:dyDescent="0.3">
      <c r="B46" s="2"/>
      <c r="C46" s="2"/>
      <c r="D46" s="2"/>
      <c r="E46" s="2"/>
      <c r="F46" s="2"/>
      <c r="G46" s="2"/>
      <c r="I46" s="2"/>
      <c r="J46" s="2"/>
      <c r="K46" s="2"/>
    </row>
    <row r="47" spans="2:26" x14ac:dyDescent="0.3">
      <c r="I47" s="2"/>
      <c r="J47" s="2"/>
      <c r="K47" s="2"/>
    </row>
    <row r="48" spans="2:26" x14ac:dyDescent="0.3">
      <c r="I48" s="2"/>
      <c r="J48" s="2"/>
      <c r="K48" s="2"/>
    </row>
    <row r="49" spans="2:15" x14ac:dyDescent="0.3">
      <c r="I49" s="2"/>
      <c r="J49" s="2"/>
      <c r="K49" s="2"/>
    </row>
    <row r="50" spans="2:15" x14ac:dyDescent="0.3">
      <c r="B50" s="2"/>
      <c r="C50" s="2"/>
      <c r="D50" s="2"/>
      <c r="E50" s="2"/>
      <c r="F50" s="2"/>
      <c r="G50" s="2"/>
      <c r="I50" s="2"/>
      <c r="J50" s="2"/>
      <c r="K50" s="2"/>
    </row>
    <row r="55" spans="2:15" x14ac:dyDescent="0.3">
      <c r="B55" s="3"/>
      <c r="C55" s="3"/>
      <c r="D55" s="3"/>
      <c r="E55" s="3"/>
      <c r="F55" s="3"/>
      <c r="G55" s="3"/>
      <c r="I55" s="3"/>
      <c r="J55" s="3"/>
      <c r="K55" s="3"/>
      <c r="L55" s="3"/>
      <c r="M55" s="3"/>
      <c r="O55" s="3"/>
    </row>
    <row r="57" spans="2:15" x14ac:dyDescent="0.3">
      <c r="M57" s="2"/>
    </row>
    <row r="58" spans="2:15" x14ac:dyDescent="0.3">
      <c r="F58" s="2"/>
      <c r="J58" s="2"/>
      <c r="M58" s="2"/>
    </row>
    <row r="59" spans="2:15" x14ac:dyDescent="0.3">
      <c r="C59" s="2"/>
    </row>
    <row r="62" spans="2:15" x14ac:dyDescent="0.3">
      <c r="B62" s="2"/>
      <c r="C62" s="2"/>
      <c r="D62" s="2"/>
      <c r="E62" s="2"/>
      <c r="F62" s="2"/>
      <c r="G62" s="2"/>
    </row>
    <row r="63" spans="2:15" x14ac:dyDescent="0.3">
      <c r="B63" s="10"/>
      <c r="C63" s="11"/>
      <c r="D63" s="11"/>
      <c r="E63" s="10"/>
      <c r="F63" s="12"/>
      <c r="G63" s="12"/>
    </row>
    <row r="64" spans="2:15" x14ac:dyDescent="0.3">
      <c r="B64" s="10"/>
      <c r="C64" s="11"/>
      <c r="D64" s="11"/>
      <c r="E64" s="10"/>
      <c r="F64" s="12"/>
      <c r="G64" s="12"/>
    </row>
    <row r="67" spans="1:11" ht="23.4" x14ac:dyDescent="0.45">
      <c r="B67" s="4"/>
      <c r="C67" s="4"/>
    </row>
    <row r="69" spans="1:11" x14ac:dyDescent="0.3">
      <c r="B69" s="2"/>
      <c r="C69" s="2"/>
      <c r="D69" s="2"/>
      <c r="E69" s="2"/>
      <c r="F69" s="2"/>
      <c r="G69" s="2"/>
    </row>
    <row r="71" spans="1:11" x14ac:dyDescent="0.3">
      <c r="A71" s="1"/>
    </row>
    <row r="72" spans="1:11" x14ac:dyDescent="0.3">
      <c r="A72" s="1"/>
      <c r="B72" s="1"/>
      <c r="C72" s="1"/>
      <c r="D72" s="1"/>
      <c r="E72" s="1"/>
      <c r="F72" s="1"/>
    </row>
    <row r="74" spans="1:11" x14ac:dyDescent="0.3">
      <c r="B74" s="3"/>
      <c r="C74" s="3"/>
      <c r="D74" s="3"/>
      <c r="E74" s="3"/>
      <c r="H74" s="3"/>
      <c r="I74" s="3"/>
      <c r="J74" s="3"/>
      <c r="K74" s="3"/>
    </row>
    <row r="80" spans="1:11" x14ac:dyDescent="0.3">
      <c r="C80" s="2"/>
    </row>
    <row r="82" spans="2:9" x14ac:dyDescent="0.3">
      <c r="I82" s="2"/>
    </row>
    <row r="85" spans="2:9" x14ac:dyDescent="0.3">
      <c r="B85" s="2"/>
      <c r="C85" s="2"/>
      <c r="D85" s="2"/>
      <c r="E85" s="2"/>
      <c r="F85" s="2"/>
      <c r="G85" s="2"/>
    </row>
    <row r="86" spans="2:9" x14ac:dyDescent="0.3">
      <c r="B86" s="10"/>
      <c r="C86" s="11"/>
      <c r="D86" s="11"/>
      <c r="E86" s="10"/>
      <c r="F86" s="12"/>
      <c r="G86" s="12"/>
    </row>
    <row r="87" spans="2:9" x14ac:dyDescent="0.3">
      <c r="B87" s="10"/>
      <c r="C87" s="11"/>
      <c r="D87" s="11"/>
      <c r="E87" s="10"/>
      <c r="F87" s="12"/>
      <c r="G87" s="12"/>
    </row>
    <row r="90" spans="2:9" ht="14.4" customHeight="1" x14ac:dyDescent="0.45">
      <c r="B90" s="4"/>
    </row>
  </sheetData>
  <mergeCells count="20">
    <mergeCell ref="C44:E44"/>
    <mergeCell ref="I7:J8"/>
    <mergeCell ref="B6:J6"/>
    <mergeCell ref="B40:B41"/>
    <mergeCell ref="C40:D41"/>
    <mergeCell ref="E40:E41"/>
    <mergeCell ref="F40:G41"/>
    <mergeCell ref="H40:H41"/>
    <mergeCell ref="I40:J41"/>
    <mergeCell ref="B39:J39"/>
    <mergeCell ref="I16:J18"/>
    <mergeCell ref="B16:G16"/>
    <mergeCell ref="B17:G18"/>
    <mergeCell ref="B7:B8"/>
    <mergeCell ref="B10:G10"/>
    <mergeCell ref="B11:G12"/>
    <mergeCell ref="E7:E8"/>
    <mergeCell ref="C7:D8"/>
    <mergeCell ref="F7:G8"/>
    <mergeCell ref="H7:H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DB6B-D219-467E-A805-01CE87C2C812}">
  <dimension ref="A6:R36"/>
  <sheetViews>
    <sheetView topLeftCell="A12" zoomScale="89" zoomScaleNormal="96" workbookViewId="0">
      <selection activeCell="C35" sqref="C35:D36"/>
    </sheetView>
  </sheetViews>
  <sheetFormatPr baseColWidth="10" defaultRowHeight="14.4" x14ac:dyDescent="0.3"/>
  <cols>
    <col min="2" max="2" width="11.5546875" customWidth="1"/>
    <col min="3" max="3" width="12.77734375" bestFit="1" customWidth="1"/>
    <col min="4" max="4" width="13.109375" bestFit="1" customWidth="1"/>
    <col min="5" max="6" width="11.77734375" bestFit="1" customWidth="1"/>
    <col min="8" max="8" width="11.6640625" bestFit="1" customWidth="1"/>
    <col min="9" max="9" width="11.88671875" bestFit="1" customWidth="1"/>
    <col min="10" max="10" width="13.109375" bestFit="1" customWidth="1"/>
    <col min="11" max="13" width="11.77734375" bestFit="1" customWidth="1"/>
  </cols>
  <sheetData>
    <row r="6" spans="2:10" x14ac:dyDescent="0.3">
      <c r="B6" s="14" t="s">
        <v>0</v>
      </c>
      <c r="C6" s="14"/>
      <c r="D6" s="14"/>
      <c r="E6" s="14"/>
      <c r="F6" s="14"/>
      <c r="G6" s="14"/>
      <c r="H6" s="14"/>
      <c r="I6" s="14"/>
      <c r="J6" s="14"/>
    </row>
    <row r="7" spans="2:10" x14ac:dyDescent="0.3">
      <c r="B7" s="13" t="s">
        <v>19</v>
      </c>
      <c r="C7" s="25">
        <v>-1.2340932753</v>
      </c>
      <c r="D7" s="25"/>
      <c r="E7" s="13" t="s">
        <v>20</v>
      </c>
      <c r="F7" s="26">
        <v>0.31546600079999998</v>
      </c>
      <c r="G7" s="26"/>
      <c r="H7" s="13" t="s">
        <v>21</v>
      </c>
      <c r="I7" s="26">
        <v>1.7802405007</v>
      </c>
      <c r="J7" s="26"/>
    </row>
    <row r="8" spans="2:10" x14ac:dyDescent="0.3">
      <c r="B8" s="13"/>
      <c r="C8" s="25"/>
      <c r="D8" s="25"/>
      <c r="E8" s="13"/>
      <c r="F8" s="26"/>
      <c r="G8" s="26"/>
      <c r="H8" s="13"/>
      <c r="I8" s="26"/>
      <c r="J8" s="26"/>
    </row>
    <row r="10" spans="2:10" x14ac:dyDescent="0.3">
      <c r="B10" s="14" t="s">
        <v>1</v>
      </c>
      <c r="C10" s="14"/>
      <c r="D10" s="14"/>
      <c r="E10" s="14"/>
      <c r="F10" s="14"/>
      <c r="G10" s="14"/>
    </row>
    <row r="11" spans="2:10" x14ac:dyDescent="0.3">
      <c r="B11" s="15"/>
      <c r="C11" s="15"/>
      <c r="D11" s="15"/>
      <c r="E11" s="15"/>
      <c r="F11" s="15"/>
      <c r="G11" s="15"/>
    </row>
    <row r="12" spans="2:10" x14ac:dyDescent="0.3">
      <c r="B12" s="15"/>
      <c r="C12" s="15"/>
      <c r="D12" s="15"/>
      <c r="E12" s="15"/>
      <c r="F12" s="15"/>
      <c r="G12" s="15"/>
    </row>
    <row r="15" spans="2:10" ht="23.4" x14ac:dyDescent="0.45">
      <c r="B15" s="4" t="s">
        <v>12</v>
      </c>
    </row>
    <row r="17" spans="1:18" x14ac:dyDescent="0.3">
      <c r="B17" s="17" t="s">
        <v>13</v>
      </c>
      <c r="C17" s="17"/>
      <c r="D17" s="17"/>
      <c r="E17" s="17"/>
      <c r="F17" s="17"/>
      <c r="G17" s="17"/>
      <c r="I17" s="18"/>
      <c r="J17" s="18"/>
      <c r="K17" s="18"/>
    </row>
    <row r="18" spans="1:18" x14ac:dyDescent="0.3">
      <c r="B18" s="15"/>
      <c r="C18" s="15"/>
      <c r="D18" s="15"/>
      <c r="E18" s="15"/>
      <c r="F18" s="15"/>
      <c r="G18" s="15"/>
      <c r="I18" s="18"/>
      <c r="J18" s="18"/>
      <c r="K18" s="18"/>
    </row>
    <row r="19" spans="1:18" x14ac:dyDescent="0.3">
      <c r="B19" s="15"/>
      <c r="C19" s="15"/>
      <c r="D19" s="15"/>
      <c r="E19" s="15"/>
      <c r="F19" s="15"/>
      <c r="G19" s="15"/>
      <c r="I19" s="18"/>
      <c r="J19" s="18"/>
      <c r="K19" s="18"/>
    </row>
    <row r="20" spans="1:18" x14ac:dyDescent="0.3">
      <c r="I20" s="18"/>
      <c r="J20" s="18"/>
      <c r="K20" s="18"/>
    </row>
    <row r="21" spans="1:18" x14ac:dyDescent="0.3">
      <c r="B21" s="17" t="s">
        <v>14</v>
      </c>
      <c r="C21" s="17"/>
      <c r="D21" s="17"/>
      <c r="E21" s="17"/>
      <c r="F21" s="17"/>
      <c r="G21" s="17"/>
      <c r="I21" s="2"/>
      <c r="J21" s="2"/>
      <c r="K21" s="2"/>
    </row>
    <row r="22" spans="1:18" x14ac:dyDescent="0.3">
      <c r="B22" s="15"/>
      <c r="C22" s="15"/>
      <c r="D22" s="15"/>
      <c r="E22" s="15"/>
      <c r="F22" s="15"/>
      <c r="G22" s="15"/>
    </row>
    <row r="23" spans="1:18" x14ac:dyDescent="0.3">
      <c r="B23" s="15"/>
      <c r="C23" s="15"/>
      <c r="D23" s="15"/>
      <c r="E23" s="15"/>
      <c r="F23" s="15"/>
      <c r="G23" s="15"/>
    </row>
    <row r="26" spans="1:18" x14ac:dyDescent="0.3">
      <c r="A26" s="1"/>
      <c r="B26" s="8" t="s">
        <v>4</v>
      </c>
      <c r="C26" s="8" t="s">
        <v>26</v>
      </c>
      <c r="D26" s="8" t="s">
        <v>16</v>
      </c>
      <c r="E26" s="8" t="s">
        <v>17</v>
      </c>
      <c r="F26" s="8" t="s">
        <v>10</v>
      </c>
      <c r="G26" s="29"/>
      <c r="H26" s="8" t="s">
        <v>4</v>
      </c>
      <c r="I26" s="8" t="s">
        <v>27</v>
      </c>
      <c r="J26" s="8" t="s">
        <v>16</v>
      </c>
      <c r="K26" s="8" t="s">
        <v>17</v>
      </c>
      <c r="L26" s="8" t="s">
        <v>10</v>
      </c>
      <c r="M26" s="29" t="s">
        <v>28</v>
      </c>
      <c r="N26" s="8" t="s">
        <v>4</v>
      </c>
      <c r="O26" s="8" t="s">
        <v>28</v>
      </c>
      <c r="P26" s="8" t="s">
        <v>16</v>
      </c>
      <c r="Q26" s="8" t="s">
        <v>17</v>
      </c>
      <c r="R26" s="8" t="s">
        <v>10</v>
      </c>
    </row>
    <row r="27" spans="1:18" x14ac:dyDescent="0.3">
      <c r="B27">
        <v>0</v>
      </c>
      <c r="C27">
        <v>-1.2</v>
      </c>
      <c r="D27">
        <f>C27^3-(C27^2*EXP(-0.5*C27))-3*C27+1</f>
        <v>0.2481489274376667</v>
      </c>
      <c r="E27">
        <f>3*C27^2-((2*C27-0.5*C27^2)*EXP(-0.5*C27))-3</f>
        <v>7.0050106572183886</v>
      </c>
      <c r="F27">
        <v>1E-4</v>
      </c>
      <c r="H27">
        <v>0</v>
      </c>
      <c r="I27">
        <v>0.3</v>
      </c>
      <c r="J27">
        <f>I27^3-(I27^2*EXP(-0.5*I27))-3*I27+1</f>
        <v>4.9536282121744879E-2</v>
      </c>
      <c r="K27">
        <f>3*I27^2-((2*I27-0.5*I27^2)*EXP(-0.5*I27))-3</f>
        <v>-3.2076929269159069</v>
      </c>
      <c r="L27">
        <v>1E-4</v>
      </c>
      <c r="N27">
        <v>0</v>
      </c>
      <c r="O27">
        <v>1.8</v>
      </c>
      <c r="P27">
        <f>O27^3-(O27^2*EXP(-0.5*O27))-3*O27+1</f>
        <v>0.11471430244045955</v>
      </c>
      <c r="Q27">
        <f>3*O27^2-((2*O27-0.5*O27^2)*EXP(-0.5*O27))-3</f>
        <v>5.9149920737136146</v>
      </c>
      <c r="R27">
        <v>1E-4</v>
      </c>
    </row>
    <row r="28" spans="1:18" x14ac:dyDescent="0.3">
      <c r="B28">
        <v>1</v>
      </c>
      <c r="C28">
        <f>C27-(D27/E27)</f>
        <v>-1.2354244896375652</v>
      </c>
      <c r="D28">
        <f>C28^3-(C28^2*EXP(-0.5*C28))-3*C28+1</f>
        <v>-1.0071849147345269E-2</v>
      </c>
      <c r="E28">
        <f>3*C28^2-((2*C28-0.5*C28^2)*EXP(-0.5*C28))-3</f>
        <v>7.5768302405675314</v>
      </c>
      <c r="H28">
        <v>1</v>
      </c>
      <c r="I28" s="6">
        <f>I27-(J27/K27)</f>
        <v>0.31544296266830391</v>
      </c>
      <c r="J28">
        <f>I28^3-(I28^2*EXP(-0.5*I28))-3*I28+1</f>
        <v>7.3671696567689793E-5</v>
      </c>
      <c r="K28">
        <f>3*I28^2-((2*I28-0.5*I28^2)*EXP(-0.5*I28))-3</f>
        <v>-3.1978263956782964</v>
      </c>
      <c r="M28" s="2"/>
      <c r="N28">
        <v>1</v>
      </c>
      <c r="O28">
        <f>O27-(P27/Q27)</f>
        <v>1.7806061781637454</v>
      </c>
      <c r="P28">
        <f>O28^3-(O28^2*EXP(-0.5*O28))-3*O28+1</f>
        <v>2.0838065532355898E-3</v>
      </c>
      <c r="Q28">
        <f>3*O28^2-((2*O28-0.5*O28^2)*EXP(-0.5*O28))-3</f>
        <v>5.7004926573835668</v>
      </c>
    </row>
    <row r="29" spans="1:18" x14ac:dyDescent="0.3">
      <c r="B29">
        <v>2</v>
      </c>
      <c r="C29" s="6">
        <f>C28-(D28/E28)</f>
        <v>-1.2340951937674507</v>
      </c>
      <c r="D29">
        <f>C29^3-(C29^2*EXP(-0.5*C29))-3*C29+1</f>
        <v>-1.4494420002009178E-5</v>
      </c>
      <c r="E29">
        <f>3*C29^2-((2*C29-0.5*C29^2)*EXP(-0.5*C29))-3</f>
        <v>7.5550270953337026</v>
      </c>
      <c r="F29" s="2"/>
      <c r="H29" s="30"/>
      <c r="I29" s="23"/>
      <c r="J29" s="30"/>
      <c r="K29" s="30"/>
      <c r="L29" s="2"/>
      <c r="M29" s="2"/>
      <c r="N29">
        <v>2</v>
      </c>
      <c r="O29" s="6">
        <f>O28-(P28/Q28)</f>
        <v>1.780240629661453</v>
      </c>
      <c r="P29">
        <f>O29^3-(O29^2*EXP(-0.5*O29))-3*O29+1</f>
        <v>7.3483401319407449E-7</v>
      </c>
      <c r="Q29">
        <f>3*O29^2-((2*O29-0.5*O29^2)*EXP(-0.5*O29))-3</f>
        <v>5.6964723516064684</v>
      </c>
      <c r="R29" s="2"/>
    </row>
    <row r="30" spans="1:18" x14ac:dyDescent="0.3">
      <c r="C30" s="2"/>
    </row>
    <row r="31" spans="1:18" x14ac:dyDescent="0.3">
      <c r="C31" s="2"/>
    </row>
    <row r="34" spans="2:10" x14ac:dyDescent="0.3">
      <c r="B34" s="17" t="s">
        <v>22</v>
      </c>
      <c r="C34" s="17"/>
      <c r="D34" s="17"/>
      <c r="E34" s="17"/>
      <c r="F34" s="17"/>
      <c r="G34" s="17"/>
      <c r="H34" s="17"/>
      <c r="I34" s="17"/>
      <c r="J34" s="17"/>
    </row>
    <row r="35" spans="2:10" x14ac:dyDescent="0.3">
      <c r="B35" s="13" t="s">
        <v>23</v>
      </c>
      <c r="C35" s="27">
        <f>ABS($C$7-C29)/ABS($C$7)*100</f>
        <v>1.5545562795588129E-4</v>
      </c>
      <c r="D35" s="27"/>
      <c r="E35" s="13" t="s">
        <v>24</v>
      </c>
      <c r="F35" s="27">
        <f>ABS($F$7-I28)/ABS($F$7)*100</f>
        <v>7.3028889444981728E-3</v>
      </c>
      <c r="G35" s="27"/>
      <c r="H35" s="13" t="s">
        <v>25</v>
      </c>
      <c r="I35" s="27">
        <f>ABS($I$7-O29)/ABS($I$7)*100</f>
        <v>7.2440466903906247E-6</v>
      </c>
      <c r="J35" s="27"/>
    </row>
    <row r="36" spans="2:10" x14ac:dyDescent="0.3">
      <c r="B36" s="13"/>
      <c r="C36" s="27"/>
      <c r="D36" s="27"/>
      <c r="E36" s="13"/>
      <c r="F36" s="27"/>
      <c r="G36" s="27"/>
      <c r="H36" s="13"/>
      <c r="I36" s="27"/>
      <c r="J36" s="27"/>
    </row>
  </sheetData>
  <mergeCells count="21">
    <mergeCell ref="B11:G12"/>
    <mergeCell ref="B10:G10"/>
    <mergeCell ref="B6:J6"/>
    <mergeCell ref="B7:B8"/>
    <mergeCell ref="C7:D8"/>
    <mergeCell ref="E7:E8"/>
    <mergeCell ref="F7:G8"/>
    <mergeCell ref="H7:H8"/>
    <mergeCell ref="I7:J8"/>
    <mergeCell ref="B17:G17"/>
    <mergeCell ref="I17:K20"/>
    <mergeCell ref="B18:G19"/>
    <mergeCell ref="B21:G21"/>
    <mergeCell ref="B22:G23"/>
    <mergeCell ref="B34:J34"/>
    <mergeCell ref="B35:B36"/>
    <mergeCell ref="C35:D36"/>
    <mergeCell ref="E35:E36"/>
    <mergeCell ref="F35:G36"/>
    <mergeCell ref="H35:H36"/>
    <mergeCell ref="I35:J3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5199-6F34-47A3-989D-5ABBEC831617}">
  <dimension ref="A6:O38"/>
  <sheetViews>
    <sheetView topLeftCell="A16" zoomScale="96" zoomScaleNormal="96" workbookViewId="0">
      <selection activeCell="C34" sqref="C34:D35"/>
    </sheetView>
  </sheetViews>
  <sheetFormatPr baseColWidth="10" defaultRowHeight="14.4" x14ac:dyDescent="0.3"/>
  <cols>
    <col min="2" max="2" width="11.5546875" customWidth="1"/>
    <col min="3" max="3" width="12.77734375" bestFit="1" customWidth="1"/>
    <col min="4" max="4" width="13.109375" bestFit="1" customWidth="1"/>
    <col min="5" max="6" width="11.77734375" bestFit="1" customWidth="1"/>
    <col min="8" max="8" width="11.6640625" bestFit="1" customWidth="1"/>
    <col min="9" max="9" width="11.88671875" bestFit="1" customWidth="1"/>
    <col min="10" max="10" width="13.109375" bestFit="1" customWidth="1"/>
    <col min="11" max="13" width="11.77734375" bestFit="1" customWidth="1"/>
  </cols>
  <sheetData>
    <row r="6" spans="2:12" x14ac:dyDescent="0.3">
      <c r="B6" s="14" t="s">
        <v>0</v>
      </c>
      <c r="C6" s="14"/>
      <c r="D6" s="14"/>
      <c r="E6" s="14"/>
      <c r="F6" s="14"/>
      <c r="G6" s="14"/>
      <c r="H6" s="14"/>
      <c r="I6" s="14"/>
      <c r="J6" s="14"/>
    </row>
    <row r="7" spans="2:12" x14ac:dyDescent="0.3">
      <c r="B7" s="13" t="s">
        <v>19</v>
      </c>
      <c r="C7" s="25">
        <v>-1.2340932753</v>
      </c>
      <c r="D7" s="25"/>
      <c r="E7" s="13" t="s">
        <v>20</v>
      </c>
      <c r="F7" s="26">
        <v>0.31546600079999998</v>
      </c>
      <c r="G7" s="26"/>
      <c r="H7" s="13" t="s">
        <v>21</v>
      </c>
      <c r="I7" s="26">
        <v>1.7802405007</v>
      </c>
      <c r="J7" s="26"/>
    </row>
    <row r="8" spans="2:12" x14ac:dyDescent="0.3">
      <c r="B8" s="13"/>
      <c r="C8" s="25"/>
      <c r="D8" s="25"/>
      <c r="E8" s="13"/>
      <c r="F8" s="26"/>
      <c r="G8" s="26"/>
      <c r="H8" s="13"/>
      <c r="I8" s="26"/>
      <c r="J8" s="26"/>
    </row>
    <row r="10" spans="2:12" x14ac:dyDescent="0.3">
      <c r="B10" s="14" t="s">
        <v>1</v>
      </c>
      <c r="C10" s="14"/>
      <c r="D10" s="14"/>
      <c r="E10" s="14"/>
      <c r="F10" s="14"/>
      <c r="G10" s="14"/>
    </row>
    <row r="11" spans="2:12" x14ac:dyDescent="0.3">
      <c r="B11" s="15"/>
      <c r="C11" s="15"/>
      <c r="D11" s="15"/>
      <c r="E11" s="15"/>
      <c r="F11" s="15"/>
      <c r="G11" s="15"/>
    </row>
    <row r="12" spans="2:12" x14ac:dyDescent="0.3">
      <c r="B12" s="15"/>
      <c r="C12" s="15"/>
      <c r="D12" s="15"/>
      <c r="E12" s="15"/>
      <c r="F12" s="15"/>
      <c r="G12" s="15"/>
    </row>
    <row r="15" spans="2:12" ht="23.4" x14ac:dyDescent="0.45">
      <c r="B15" s="20" t="s">
        <v>15</v>
      </c>
      <c r="C15" s="20"/>
    </row>
    <row r="16" spans="2:12" x14ac:dyDescent="0.3">
      <c r="I16" s="15"/>
      <c r="J16" s="15"/>
      <c r="K16" s="15"/>
      <c r="L16" s="15"/>
    </row>
    <row r="17" spans="1:15" x14ac:dyDescent="0.3">
      <c r="B17" s="19" t="s">
        <v>3</v>
      </c>
      <c r="C17" s="19"/>
      <c r="D17" s="19"/>
      <c r="E17" s="19"/>
      <c r="F17" s="19"/>
      <c r="G17" s="19"/>
      <c r="I17" s="15"/>
      <c r="J17" s="15"/>
      <c r="K17" s="15"/>
      <c r="L17" s="15"/>
    </row>
    <row r="18" spans="1:15" x14ac:dyDescent="0.3">
      <c r="B18" s="15"/>
      <c r="C18" s="15"/>
      <c r="D18" s="15"/>
      <c r="E18" s="15"/>
      <c r="F18" s="15"/>
      <c r="G18" s="15"/>
      <c r="I18" s="15"/>
      <c r="J18" s="15"/>
      <c r="K18" s="15"/>
      <c r="L18" s="15"/>
    </row>
    <row r="19" spans="1:15" x14ac:dyDescent="0.3">
      <c r="A19" s="1"/>
      <c r="B19" s="15"/>
      <c r="C19" s="15"/>
      <c r="D19" s="15"/>
      <c r="E19" s="15"/>
      <c r="F19" s="15"/>
      <c r="G19" s="15"/>
      <c r="I19" s="15"/>
      <c r="J19" s="15"/>
      <c r="K19" s="15"/>
      <c r="L19" s="15"/>
    </row>
    <row r="20" spans="1:15" x14ac:dyDescent="0.3">
      <c r="A20" s="1"/>
      <c r="B20" s="1"/>
      <c r="C20" s="1"/>
      <c r="D20" s="1"/>
      <c r="E20" s="1"/>
      <c r="F20" s="1"/>
    </row>
    <row r="22" spans="1:15" x14ac:dyDescent="0.3">
      <c r="B22" s="9" t="s">
        <v>4</v>
      </c>
      <c r="C22" s="9" t="s">
        <v>26</v>
      </c>
      <c r="D22" s="9" t="s">
        <v>16</v>
      </c>
      <c r="E22" s="9" t="s">
        <v>10</v>
      </c>
      <c r="G22" s="9" t="s">
        <v>4</v>
      </c>
      <c r="H22" s="9" t="s">
        <v>27</v>
      </c>
      <c r="I22" s="9" t="s">
        <v>16</v>
      </c>
      <c r="J22" s="9" t="s">
        <v>10</v>
      </c>
      <c r="K22" s="3"/>
      <c r="L22" s="9" t="s">
        <v>4</v>
      </c>
      <c r="M22" s="9" t="s">
        <v>28</v>
      </c>
      <c r="N22" s="9" t="s">
        <v>16</v>
      </c>
      <c r="O22" s="9" t="s">
        <v>10</v>
      </c>
    </row>
    <row r="23" spans="1:15" x14ac:dyDescent="0.3">
      <c r="B23">
        <v>0</v>
      </c>
      <c r="C23">
        <v>-2</v>
      </c>
      <c r="D23">
        <f>C23^3-(C23^2*EXP(-0.5*C23))-3*C23+1</f>
        <v>-11.873127313836179</v>
      </c>
      <c r="E23">
        <v>1E-4</v>
      </c>
      <c r="G23">
        <v>0</v>
      </c>
      <c r="H23">
        <v>0</v>
      </c>
      <c r="I23">
        <f>H23^3-(H23^2*EXP(-0.5*H23))-3*H23+1</f>
        <v>1</v>
      </c>
      <c r="J23">
        <v>1E-4</v>
      </c>
      <c r="L23">
        <v>0</v>
      </c>
      <c r="M23">
        <v>1</v>
      </c>
      <c r="N23">
        <f>M23^3-(M23^2*EXP(-0.5*M23))-3*M23+1</f>
        <v>-1.6065306597126332</v>
      </c>
      <c r="O23">
        <v>1E-4</v>
      </c>
    </row>
    <row r="24" spans="1:15" x14ac:dyDescent="0.3">
      <c r="B24">
        <v>1</v>
      </c>
      <c r="C24">
        <v>-1</v>
      </c>
      <c r="D24">
        <f>C24^3-(C24^2*EXP(-0.5*C24))-3*C24+1</f>
        <v>1.3512787292998718</v>
      </c>
      <c r="G24">
        <v>1</v>
      </c>
      <c r="H24">
        <v>1</v>
      </c>
      <c r="I24">
        <f>H24^3-(H24^2*EXP(-0.5*H24))-3*H24+1</f>
        <v>-1.6065306597126332</v>
      </c>
      <c r="L24">
        <v>1</v>
      </c>
      <c r="M24">
        <v>2</v>
      </c>
      <c r="N24">
        <f>M24^3-(M24^2*EXP(-0.5*M24))-3*M24+1</f>
        <v>1.5284822353142307</v>
      </c>
    </row>
    <row r="25" spans="1:15" x14ac:dyDescent="0.3">
      <c r="B25">
        <v>2</v>
      </c>
      <c r="C25">
        <f>C24-((D24*(C24-C23))/(D24-D23))</f>
        <v>-1.1021806744962459</v>
      </c>
      <c r="D25">
        <f>C25^3-(C25^2*EXP(-0.5*C25))-3*C25+1</f>
        <v>0.85975380266030044</v>
      </c>
      <c r="G25">
        <v>2</v>
      </c>
      <c r="H25">
        <f>H24-((I24*(H24-H23))/(I24-I23))</f>
        <v>0.38365173119055074</v>
      </c>
      <c r="I25">
        <f>H25^3-(H25^2*EXP(-0.5*H25))-3*H25+1</f>
        <v>-0.21598297232874852</v>
      </c>
      <c r="L25">
        <v>2</v>
      </c>
      <c r="M25">
        <f>M24-((N24*(M24-M23))/(N24-N23))</f>
        <v>1.5124478633759708</v>
      </c>
      <c r="N25">
        <f>M25^3-(M25^2*EXP(-0.5*M25))-3*M25+1</f>
        <v>-1.1514548029317089</v>
      </c>
    </row>
    <row r="26" spans="1:15" x14ac:dyDescent="0.3">
      <c r="B26">
        <v>3</v>
      </c>
      <c r="C26">
        <f t="shared" ref="C26" si="0">C25-((D25*(C25-C24))/(D25-D24))</f>
        <v>-1.280910620212633</v>
      </c>
      <c r="D26">
        <f>C26^3-(C26^2*EXP(-0.5*C26))-3*C26+1</f>
        <v>-0.37193317628023337</v>
      </c>
      <c r="G26">
        <v>3</v>
      </c>
      <c r="H26">
        <f t="shared" ref="H26" si="1">H25-((I25*(H25-H24))/(I25-I24))</f>
        <v>0.28791914158221388</v>
      </c>
      <c r="I26">
        <f>H26^3-(H26^2*EXP(-0.5*H26))-3*H26+1</f>
        <v>8.8327559886050122E-2</v>
      </c>
      <c r="L26">
        <v>3</v>
      </c>
      <c r="M26">
        <f>M25-((N25*(M25-M24))/(N25-N24))</f>
        <v>1.7219282509311935</v>
      </c>
      <c r="N26">
        <f>M26^3-(M26^2*EXP(-0.5*M26))-3*M26+1</f>
        <v>-0.31368603985038401</v>
      </c>
    </row>
    <row r="27" spans="1:15" x14ac:dyDescent="0.3">
      <c r="B27">
        <v>4</v>
      </c>
      <c r="C27" s="24">
        <f>C26-((D26*(C26-C25))/(D26-D25))</f>
        <v>-1.2269394428410332</v>
      </c>
      <c r="D27">
        <f>C27^3-(C27^2*EXP(-0.5*C27))-3*C27+1</f>
        <v>5.36286640556769E-2</v>
      </c>
      <c r="G27">
        <v>4</v>
      </c>
      <c r="H27" s="24">
        <f>H26-((I26*(H26-H25))/(I26-I25))</f>
        <v>0.31570597492030045</v>
      </c>
      <c r="I27">
        <f>H27^3-(H27^2*EXP(-0.5*H27))-3*H27+1</f>
        <v>-7.6737151754913135E-4</v>
      </c>
      <c r="L27">
        <v>4</v>
      </c>
      <c r="M27" s="24">
        <f>M26-((N26*(M26-M25))/(N26-N25))</f>
        <v>1.8003640629288087</v>
      </c>
      <c r="N27">
        <f>M27^3-(M27^2*EXP(-0.5*M27))-3*M27+1</f>
        <v>0.11686846884061541</v>
      </c>
    </row>
    <row r="28" spans="1:15" x14ac:dyDescent="0.3">
      <c r="B28">
        <v>5</v>
      </c>
      <c r="C28" s="24">
        <f>C27-((D27*(C27-C26))/(D27-D26))</f>
        <v>-1.2337408095652354</v>
      </c>
      <c r="D28">
        <f>C28^3-(C28^2*EXP(-0.5*C28))-3*C28+1</f>
        <v>2.6618586341129458E-3</v>
      </c>
      <c r="G28">
        <v>5</v>
      </c>
      <c r="H28" s="6">
        <f>H27-((I27*(H27-H26))/(I27-I26))</f>
        <v>0.3154666478998896</v>
      </c>
      <c r="I28">
        <f>H28^3-(H28^2*EXP(-0.5*H28))-3*H28+1</f>
        <v>-2.0693652400538554E-6</v>
      </c>
      <c r="L28">
        <v>5</v>
      </c>
      <c r="M28" s="24">
        <f>M27-((N27*(M27-M26))/(N27-N26))</f>
        <v>1.7790736732908026</v>
      </c>
      <c r="N28">
        <f>M28^3-(M28^2*EXP(-0.5*M28))-3*M28+1</f>
        <v>-6.6393138449374334E-3</v>
      </c>
    </row>
    <row r="29" spans="1:15" x14ac:dyDescent="0.3">
      <c r="B29">
        <v>6</v>
      </c>
      <c r="C29" s="6">
        <f t="shared" ref="C29" si="2">C28-((D28*(C28-C27))/(D28-D27))</f>
        <v>-1.2340960265851926</v>
      </c>
      <c r="D29">
        <f t="shared" ref="D29" si="3">C29^3-(C29^2*EXP(-0.5*C29))-3*C29+1</f>
        <v>-2.0786386292215298E-5</v>
      </c>
      <c r="G29" s="30"/>
      <c r="H29" s="23"/>
      <c r="I29" s="30"/>
      <c r="J29" s="30"/>
      <c r="L29">
        <v>6</v>
      </c>
      <c r="M29" s="24">
        <f t="shared" ref="M29" si="4">M28-((N28*(M28-M27))/(N28-N27))</f>
        <v>1.780218164557783</v>
      </c>
      <c r="N29">
        <f t="shared" ref="N29:N30" si="5">M29^3-(M29^2*EXP(-0.5*M29))-3*M29+1</f>
        <v>-1.2723423297789083E-4</v>
      </c>
    </row>
    <row r="30" spans="1:15" x14ac:dyDescent="0.3">
      <c r="C30" s="24"/>
      <c r="L30">
        <v>7</v>
      </c>
      <c r="M30" s="6">
        <f t="shared" ref="M30" si="6">M29-((N29*(M29-M28))/(N29-N28))</f>
        <v>1.780240525842838</v>
      </c>
      <c r="N30">
        <f t="shared" si="5"/>
        <v>1.4343420229323556E-7</v>
      </c>
    </row>
    <row r="31" spans="1:15" x14ac:dyDescent="0.3">
      <c r="C31" s="24"/>
      <c r="M31" s="24"/>
    </row>
    <row r="33" spans="2:10" x14ac:dyDescent="0.3">
      <c r="B33" s="19" t="s">
        <v>22</v>
      </c>
      <c r="C33" s="19"/>
      <c r="D33" s="19"/>
      <c r="E33" s="19"/>
      <c r="F33" s="19"/>
      <c r="G33" s="19"/>
      <c r="H33" s="19"/>
      <c r="I33" s="19"/>
      <c r="J33" s="19"/>
    </row>
    <row r="34" spans="2:10" x14ac:dyDescent="0.3">
      <c r="B34" s="13" t="s">
        <v>23</v>
      </c>
      <c r="C34" s="27">
        <f>ABS($C$7-C29)/ABS($C$7)*100</f>
        <v>2.2293980913966772E-4</v>
      </c>
      <c r="D34" s="27"/>
      <c r="E34" s="13" t="s">
        <v>24</v>
      </c>
      <c r="F34" s="27">
        <f>ABS($F$7-H28)/ABS($F$7)*100</f>
        <v>2.051250809836445E-4</v>
      </c>
      <c r="G34" s="27"/>
      <c r="H34" s="13" t="s">
        <v>25</v>
      </c>
      <c r="I34" s="27">
        <f>ABS($I$7-M30)/ABS($I$7)*100</f>
        <v>1.4123281671156641E-6</v>
      </c>
      <c r="J34" s="27"/>
    </row>
    <row r="35" spans="2:10" x14ac:dyDescent="0.3">
      <c r="B35" s="13"/>
      <c r="C35" s="27"/>
      <c r="D35" s="27"/>
      <c r="E35" s="13"/>
      <c r="F35" s="27"/>
      <c r="G35" s="27"/>
      <c r="H35" s="13"/>
      <c r="I35" s="27"/>
      <c r="J35" s="27"/>
    </row>
    <row r="38" spans="2:10" ht="23.4" x14ac:dyDescent="0.45">
      <c r="B38" s="4"/>
    </row>
  </sheetData>
  <mergeCells count="20">
    <mergeCell ref="B11:G12"/>
    <mergeCell ref="B10:G10"/>
    <mergeCell ref="B6:J6"/>
    <mergeCell ref="B7:B8"/>
    <mergeCell ref="C7:D8"/>
    <mergeCell ref="E7:E8"/>
    <mergeCell ref="F7:G8"/>
    <mergeCell ref="H7:H8"/>
    <mergeCell ref="I7:J8"/>
    <mergeCell ref="B15:C15"/>
    <mergeCell ref="I16:L19"/>
    <mergeCell ref="B17:G17"/>
    <mergeCell ref="B18:G19"/>
    <mergeCell ref="B34:B35"/>
    <mergeCell ref="C34:D35"/>
    <mergeCell ref="E34:E35"/>
    <mergeCell ref="F34:G35"/>
    <mergeCell ref="H34:H35"/>
    <mergeCell ref="I34:J35"/>
    <mergeCell ref="B33:J3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6DEE-50FD-4CB9-97D5-BD81BBC974F2}">
  <dimension ref="B6:O102"/>
  <sheetViews>
    <sheetView tabSelected="1" topLeftCell="A74" zoomScale="98" zoomScaleNormal="98" workbookViewId="0">
      <selection activeCell="M103" sqref="M103"/>
    </sheetView>
  </sheetViews>
  <sheetFormatPr baseColWidth="10" defaultRowHeight="14.4" x14ac:dyDescent="0.3"/>
  <cols>
    <col min="2" max="2" width="11.5546875" customWidth="1"/>
    <col min="3" max="3" width="12.77734375" bestFit="1" customWidth="1"/>
    <col min="4" max="4" width="13.109375" bestFit="1" customWidth="1"/>
    <col min="5" max="6" width="11.77734375" bestFit="1" customWidth="1"/>
    <col min="8" max="8" width="11.6640625" bestFit="1" customWidth="1"/>
    <col min="9" max="9" width="11.88671875" bestFit="1" customWidth="1"/>
    <col min="10" max="10" width="13.109375" bestFit="1" customWidth="1"/>
    <col min="11" max="13" width="11.77734375" bestFit="1" customWidth="1"/>
  </cols>
  <sheetData>
    <row r="6" spans="2:10" x14ac:dyDescent="0.3">
      <c r="B6" s="14" t="s">
        <v>0</v>
      </c>
      <c r="C6" s="14"/>
      <c r="D6" s="14"/>
      <c r="E6" s="14"/>
      <c r="F6" s="14"/>
      <c r="G6" s="14"/>
      <c r="H6" s="14"/>
      <c r="I6" s="14"/>
      <c r="J6" s="14"/>
    </row>
    <row r="7" spans="2:10" x14ac:dyDescent="0.3">
      <c r="B7" s="13" t="s">
        <v>19</v>
      </c>
      <c r="C7" s="25">
        <v>-1.2340932753</v>
      </c>
      <c r="D7" s="25"/>
      <c r="E7" s="13" t="s">
        <v>20</v>
      </c>
      <c r="F7" s="26">
        <v>0.31546600079999998</v>
      </c>
      <c r="G7" s="26"/>
      <c r="H7" s="13" t="s">
        <v>21</v>
      </c>
      <c r="I7" s="26">
        <v>1.7802405007</v>
      </c>
      <c r="J7" s="26"/>
    </row>
    <row r="8" spans="2:10" x14ac:dyDescent="0.3">
      <c r="B8" s="13"/>
      <c r="C8" s="25"/>
      <c r="D8" s="25"/>
      <c r="E8" s="13"/>
      <c r="F8" s="26"/>
      <c r="G8" s="26"/>
      <c r="H8" s="13"/>
      <c r="I8" s="26"/>
      <c r="J8" s="26"/>
    </row>
    <row r="10" spans="2:10" x14ac:dyDescent="0.3">
      <c r="B10" s="14" t="s">
        <v>1</v>
      </c>
      <c r="C10" s="14"/>
      <c r="D10" s="14"/>
      <c r="E10" s="14"/>
      <c r="F10" s="14"/>
      <c r="G10" s="14"/>
    </row>
    <row r="11" spans="2:10" x14ac:dyDescent="0.3">
      <c r="B11" s="15"/>
      <c r="C11" s="15"/>
      <c r="D11" s="15"/>
      <c r="E11" s="15"/>
      <c r="F11" s="15"/>
      <c r="G11" s="15"/>
    </row>
    <row r="12" spans="2:10" x14ac:dyDescent="0.3">
      <c r="B12" s="15"/>
      <c r="C12" s="15"/>
      <c r="D12" s="15"/>
      <c r="E12" s="15"/>
      <c r="F12" s="15"/>
      <c r="G12" s="15"/>
    </row>
    <row r="14" spans="2:10" ht="23.4" x14ac:dyDescent="0.45">
      <c r="B14" s="4" t="s">
        <v>18</v>
      </c>
    </row>
    <row r="36" spans="2:2" ht="23.4" x14ac:dyDescent="0.45">
      <c r="B36" s="4" t="s">
        <v>29</v>
      </c>
    </row>
    <row r="55" spans="2:15" x14ac:dyDescent="0.3">
      <c r="C55" s="21" t="s">
        <v>32</v>
      </c>
      <c r="D55" s="21"/>
      <c r="E55" s="21"/>
      <c r="H55" s="22" t="s">
        <v>35</v>
      </c>
      <c r="I55" s="22"/>
      <c r="J55" s="22"/>
      <c r="M55" s="21" t="s">
        <v>38</v>
      </c>
      <c r="N55" s="21"/>
      <c r="O55" s="21"/>
    </row>
    <row r="56" spans="2:15" x14ac:dyDescent="0.3">
      <c r="C56" s="21"/>
      <c r="D56" s="21"/>
      <c r="E56" s="21"/>
      <c r="H56" s="22"/>
      <c r="I56" s="22"/>
      <c r="J56" s="22"/>
      <c r="M56" s="21"/>
      <c r="N56" s="21"/>
      <c r="O56" s="21"/>
    </row>
    <row r="59" spans="2:15" ht="23.4" x14ac:dyDescent="0.45">
      <c r="B59" s="4" t="s">
        <v>30</v>
      </c>
    </row>
    <row r="78" spans="3:15" ht="14.4" customHeight="1" x14ac:dyDescent="0.3">
      <c r="C78" s="21" t="s">
        <v>33</v>
      </c>
      <c r="D78" s="21"/>
      <c r="E78" s="21"/>
      <c r="H78" s="22" t="s">
        <v>36</v>
      </c>
      <c r="I78" s="22"/>
      <c r="J78" s="22"/>
      <c r="M78" s="21" t="s">
        <v>39</v>
      </c>
      <c r="N78" s="21"/>
      <c r="O78" s="21"/>
    </row>
    <row r="79" spans="3:15" x14ac:dyDescent="0.3">
      <c r="C79" s="21"/>
      <c r="D79" s="21"/>
      <c r="E79" s="21"/>
      <c r="H79" s="22"/>
      <c r="I79" s="22"/>
      <c r="J79" s="22"/>
      <c r="M79" s="21"/>
      <c r="N79" s="21"/>
      <c r="O79" s="21"/>
    </row>
    <row r="82" spans="2:2" ht="23.4" x14ac:dyDescent="0.45">
      <c r="B82" s="4" t="s">
        <v>31</v>
      </c>
    </row>
    <row r="100" spans="3:15" ht="14.4" customHeight="1" x14ac:dyDescent="0.3"/>
    <row r="101" spans="3:15" ht="14.4" customHeight="1" x14ac:dyDescent="0.3">
      <c r="C101" s="21" t="s">
        <v>34</v>
      </c>
      <c r="D101" s="21"/>
      <c r="E101" s="21"/>
      <c r="H101" s="22" t="s">
        <v>37</v>
      </c>
      <c r="I101" s="22"/>
      <c r="J101" s="22"/>
      <c r="M101" s="21" t="s">
        <v>40</v>
      </c>
      <c r="N101" s="21"/>
      <c r="O101" s="21"/>
    </row>
    <row r="102" spans="3:15" x14ac:dyDescent="0.3">
      <c r="C102" s="21"/>
      <c r="D102" s="21"/>
      <c r="E102" s="21"/>
      <c r="H102" s="22"/>
      <c r="I102" s="22"/>
      <c r="J102" s="22"/>
      <c r="M102" s="21"/>
      <c r="N102" s="21"/>
      <c r="O102" s="21"/>
    </row>
  </sheetData>
  <mergeCells count="18">
    <mergeCell ref="C78:E79"/>
    <mergeCell ref="C101:E102"/>
    <mergeCell ref="H78:J79"/>
    <mergeCell ref="M78:O79"/>
    <mergeCell ref="H101:J102"/>
    <mergeCell ref="M101:O102"/>
    <mergeCell ref="M55:O56"/>
    <mergeCell ref="C55:E56"/>
    <mergeCell ref="H55:J56"/>
    <mergeCell ref="B11:G12"/>
    <mergeCell ref="B10:G10"/>
    <mergeCell ref="B6:J6"/>
    <mergeCell ref="B7:B8"/>
    <mergeCell ref="C7:D8"/>
    <mergeCell ref="E7:E8"/>
    <mergeCell ref="F7:G8"/>
    <mergeCell ref="H7:H8"/>
    <mergeCell ref="I7:J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EJ3_BISECCION</vt:lpstr>
      <vt:lpstr>EJ3_NEWTON</vt:lpstr>
      <vt:lpstr>EJ3_SECANTE</vt:lpstr>
      <vt:lpstr>EJ3_GRAFICOS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MICHELLE</cp:lastModifiedBy>
  <dcterms:created xsi:type="dcterms:W3CDTF">2025-11-20T01:41:21Z</dcterms:created>
  <dcterms:modified xsi:type="dcterms:W3CDTF">2025-11-22T03:49:00Z</dcterms:modified>
</cp:coreProperties>
</file>